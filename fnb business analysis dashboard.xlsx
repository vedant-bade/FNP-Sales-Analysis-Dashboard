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91832\Downloads\"/>
    </mc:Choice>
  </mc:AlternateContent>
  <xr:revisionPtr revIDLastSave="0" documentId="8_{BC477BE4-171D-4B67-BEA3-0BF088449586}" xr6:coauthVersionLast="47" xr6:coauthVersionMax="47" xr10:uidLastSave="{00000000-0000-0000-0000-000000000000}"/>
  <bookViews>
    <workbookView xWindow="-108" yWindow="-108" windowWidth="23256" windowHeight="12456" firstSheet="1" activeTab="4" xr2:uid="{59C12CEF-0254-46A4-8320-9109A3665A9B}"/>
  </bookViews>
  <sheets>
    <sheet name="fnp_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fnp_dataset!$A$1:$F$4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Order_Date">#N/A</definedName>
  </definedNames>
  <calcPr calcId="191029"/>
  <pivotCaches>
    <pivotCache cacheId="653" r:id="rId7"/>
    <pivotCache cacheId="656" r:id="rId8"/>
    <pivotCache cacheId="659" r:id="rId9"/>
    <pivotCache cacheId="662" r:id="rId10"/>
    <pivotCache cacheId="665" r:id="rId11"/>
    <pivotCache cacheId="668" r:id="rId12"/>
    <pivotCache cacheId="671" r:id="rId13"/>
    <pivotCache cacheId="674" r:id="rId14"/>
    <pivotCache cacheId="677" r:id="rId15"/>
  </pivotCaches>
  <extLst>
    <ext xmlns:x14="http://schemas.microsoft.com/office/spreadsheetml/2009/9/main" uri="{876F7934-8845-4945-9796-88D515C7AA90}">
      <x14:pivotCaches>
        <pivotCache cacheId="13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5"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6c9cfbdd-eedb-46f8-90a2-3734746986e8" name="fnp_dataset" connection="Query - fnp_dataset"/>
          <x15:modelTable id="customers_d2a40e04-3287-4b1b-afc3-fdd39e580ba4" name="customers" connection="Query - customers"/>
          <x15:modelTable id="orders_b1ef6214-79b2-4b2a-9348-f5dab5b39d26" name="orders" connection="Query - orders"/>
          <x15:modelTable id="products_2cdfe60b-d3db-4506-91a5-dcf7eb78d40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3CA5AD-3E6E-4AC2-BA9E-A60FB050F697}" keepAlive="1" name="ModelConnection_ExternalData_1" description="Data Model" type="5" refreshedVersion="8" minRefreshableVersion="5" saveData="1">
    <dbPr connection="Data Model Connection" command="fnp_dataset" commandType="3"/>
    <extLst>
      <ext xmlns:x15="http://schemas.microsoft.com/office/spreadsheetml/2010/11/main" uri="{DE250136-89BD-433C-8126-D09CA5730AF9}">
        <x15:connection id="" model="1"/>
      </ext>
    </extLst>
  </connection>
  <connection id="2" xr16:uid="{3E218B70-381D-4D0E-9886-478EB4C1261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5F3DA19-DCEC-4A9A-92D2-E75EF3D29A1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D7C9A4E-CA94-4797-ADEF-36AA098ED2D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44BAB63-9F5A-43D4-944E-37383E432A53}" name="Query - customers" description="Connection to the 'customers' query in the workbook." type="100" refreshedVersion="8" minRefreshableVersion="5">
    <extLst>
      <ext xmlns:x15="http://schemas.microsoft.com/office/spreadsheetml/2010/11/main" uri="{DE250136-89BD-433C-8126-D09CA5730AF9}">
        <x15:connection id="9836c815-96f1-489e-8143-683b46f08bd0"/>
      </ext>
    </extLst>
  </connection>
  <connection id="6" xr16:uid="{4D1A374B-7BEF-4806-BBB5-61D51643C227}" name="Query - fnp_dataset" description="Connection to the 'fnp_dataset' query in the workbook." type="100" refreshedVersion="8" minRefreshableVersion="5">
    <extLst>
      <ext xmlns:x15="http://schemas.microsoft.com/office/spreadsheetml/2010/11/main" uri="{DE250136-89BD-433C-8126-D09CA5730AF9}">
        <x15:connection id="fd4901c3-332e-4b39-a555-3d619e402539"/>
      </ext>
    </extLst>
  </connection>
  <connection id="7" xr16:uid="{A3B48445-A44B-4971-BDE7-704F07EB2EEE}" name="Query - orders" description="Connection to the 'orders' query in the workbook." type="100" refreshedVersion="8" minRefreshableVersion="5">
    <extLst>
      <ext xmlns:x15="http://schemas.microsoft.com/office/spreadsheetml/2010/11/main" uri="{DE250136-89BD-433C-8126-D09CA5730AF9}">
        <x15:connection id="0a376fa4-db4a-4f2c-a265-41dfeebf1afb"/>
      </ext>
    </extLst>
  </connection>
  <connection id="8" xr16:uid="{0374C3CF-AAF2-44FB-AFCE-12D5390228CF}" name="Query - products" description="Connection to the 'products' query in the workbook." type="100" refreshedVersion="8" minRefreshableVersion="5">
    <extLst>
      <ext xmlns:x15="http://schemas.microsoft.com/office/spreadsheetml/2010/11/main" uri="{DE250136-89BD-433C-8126-D09CA5730AF9}">
        <x15:connection id="824edaa4-f9f4-452d-b84d-17df75025ddd"/>
      </ext>
    </extLst>
  </connection>
  <connection id="9" xr16:uid="{6FF1074D-44B7-4EA2-89A2-F84D38ADEF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<sst xmlns="http://schemas.openxmlformats.org/spreadsheetml/2006/main" count="6094" uniqueCount="1018">
  <si>
    <t>Name</t>
  </si>
  <si>
    <t>Extension</t>
  </si>
  <si>
    <t>Date accessed</t>
  </si>
  <si>
    <t>Date modified</t>
  </si>
  <si>
    <t>Date created</t>
  </si>
  <si>
    <t>Folder Path</t>
  </si>
  <si>
    <t>customers.csv</t>
  </si>
  <si>
    <t>.csv</t>
  </si>
  <si>
    <t>C:\Users\91832\Downloads\fnp_dataset\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</si>
  <si>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</si>
  <si>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</si>
  <si>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</si>
  <si>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</si>
  <si>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</si>
  <si>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</si>
  <si>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</si>
  <si>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</si>
  <si>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</si>
  <si>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</si>
  <si>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</si>
  <si>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</si>
  <si>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</si>
  <si>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</si>
  <si>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</si>
  <si>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</si>
  <si>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</si>
  <si>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</si>
  <si>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</si>
  <si>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</si>
  <si>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</si>
  <si>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</si>
  <si>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</si>
  <si>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</si>
  <si>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</si>
  <si>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</si>
  <si>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</si>
  <si>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</si>
  <si>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</si>
  <si>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</si>
  <si>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</si>
  <si>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</si>
  <si>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</si>
  <si>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</si>
  <si>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</si>
  <si>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</si>
  <si>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</si>
  <si>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</si>
  <si>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</si>
  <si>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</si>
  <si>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</si>
  <si>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</si>
  <si>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</si>
  <si>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</si>
  <si>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</si>
  <si>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</si>
  <si>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</si>
  <si>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</si>
  <si>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</si>
  <si>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</si>
  <si>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</si>
  <si>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</si>
  <si>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</si>
  <si>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</si>
  <si>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</si>
  <si>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</si>
  <si>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</si>
  <si>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</si>
  <si>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</si>
  <si>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</si>
  <si>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</si>
  <si>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</si>
  <si>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</si>
  <si>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</si>
  <si>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</si>
  <si>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</si>
  <si>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</si>
  <si>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</si>
  <si>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</si>
  <si>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</si>
  <si>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</si>
  <si>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</si>
  <si>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</si>
  <si>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</si>
  <si>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</si>
  <si>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</si>
  <si>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</si>
  <si>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</si>
  <si>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</si>
  <si>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</si>
  <si>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</si>
  <si>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</si>
  <si>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</si>
  <si>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</si>
  <si>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</si>
  <si>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</si>
  <si>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</si>
  <si>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</si>
  <si>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</si>
  <si>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</si>
  <si>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</si>
  <si>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</si>
  <si>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</si>
  <si>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</si>
  <si>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</si>
  <si>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</si>
  <si>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</si>
  <si>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</si>
  <si>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</si>
  <si>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</si>
  <si>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</si>
  <si>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</si>
  <si>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</si>
  <si>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</si>
  <si>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</si>
  <si>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</si>
  <si>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</si>
  <si>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</si>
  <si>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</si>
  <si>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</si>
  <si>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</si>
  <si>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</si>
  <si>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</si>
  <si>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</si>
  <si>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</si>
  <si>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</si>
  <si>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</si>
  <si>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</si>
  <si>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</si>
  <si>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</si>
  <si>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</si>
  <si>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</si>
  <si>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</si>
  <si>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</si>
  <si>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</si>
  <si>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</si>
  <si>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</si>
  <si>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</si>
  <si>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</si>
  <si>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</si>
  <si>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</si>
  <si>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</si>
  <si>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</si>
  <si>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</si>
  <si>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</si>
  <si>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</si>
  <si>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</si>
  <si>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</si>
  <si>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</si>
  <si>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</si>
  <si>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</si>
  <si>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</si>
  <si>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</si>
  <si>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</si>
  <si>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</si>
  <si>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</si>
  <si>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</si>
  <si>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</si>
  <si>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</si>
  <si>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</si>
  <si>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</si>
  <si>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</si>
  <si>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</si>
  <si>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</si>
  <si>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</si>
  <si>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</si>
  <si>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</si>
  <si>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</si>
  <si>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</si>
  <si>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</si>
  <si>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</si>
  <si>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</si>
  <si>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</si>
  <si>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</si>
  <si>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</si>
  <si>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</si>
  <si>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</si>
  <si>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</si>
  <si>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</si>
  <si>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</si>
  <si>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</si>
  <si>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</si>
  <si>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</si>
  <si>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</si>
  <si>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</si>
  <si>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</si>
  <si>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</si>
  <si>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</si>
  <si>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</si>
  <si>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</si>
  <si>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</si>
  <si>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</si>
  <si>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</si>
  <si>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</si>
  <si>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</si>
  <si>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</si>
  <si>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</si>
  <si>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</si>
  <si>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</si>
  <si>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</si>
  <si>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</si>
  <si>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</si>
  <si>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</si>
  <si>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</si>
  <si>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</si>
  <si>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</si>
  <si>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</si>
  <si>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</si>
  <si>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</si>
  <si>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</si>
  <si>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</si>
  <si>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</si>
  <si>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</si>
  <si>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</si>
  <si>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</si>
  <si>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</si>
  <si>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</si>
  <si>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</si>
  <si>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</si>
  <si>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</si>
  <si>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</si>
  <si>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</si>
  <si>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</si>
  <si>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</si>
  <si>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</si>
  <si>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</si>
  <si>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</si>
  <si>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</si>
  <si>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</si>
  <si>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</si>
  <si>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</si>
  <si>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</si>
  <si>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</si>
  <si>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</si>
  <si>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</si>
  <si>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</si>
  <si>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</si>
  <si>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</si>
  <si>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</si>
  <si>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</si>
  <si>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</si>
  <si>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</si>
  <si>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</si>
  <si>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</si>
  <si>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</si>
  <si>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</si>
  <si>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</si>
  <si>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</si>
  <si>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</si>
  <si>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</si>
  <si>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</si>
  <si>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</si>
  <si>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</si>
  <si>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</si>
  <si>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</si>
  <si>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</si>
  <si>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</si>
  <si>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</si>
  <si>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</si>
  <si>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</si>
  <si>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</si>
  <si>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</si>
  <si>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</si>
  <si>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</si>
  <si>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</si>
  <si>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</si>
  <si>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</si>
  <si>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</si>
  <si>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</si>
  <si>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</si>
  <si>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</si>
  <si>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</si>
  <si>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</si>
  <si>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</si>
  <si>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</si>
  <si>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</si>
  <si>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</si>
  <si>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</si>
  <si>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</si>
  <si>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</si>
  <si>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</si>
  <si>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</si>
  <si>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</si>
  <si>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</si>
  <si>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</si>
  <si>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</si>
  <si>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</si>
  <si>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</si>
  <si>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</si>
  <si>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</si>
  <si>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</si>
  <si>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</si>
  <si>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</si>
  <si>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</si>
  <si>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</si>
  <si>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</si>
  <si>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</si>
  <si>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</si>
  <si>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</si>
  <si>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</si>
  <si>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</si>
  <si>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</si>
  <si>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</si>
  <si>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</si>
  <si>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</si>
  <si>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</si>
  <si>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</si>
  <si>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</si>
  <si>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</si>
  <si>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</si>
  <si>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</si>
  <si>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</si>
  <si>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</si>
  <si>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</si>
  <si>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</si>
  <si>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</si>
  <si>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</si>
  <si>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</si>
  <si>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</si>
  <si>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</si>
  <si>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</si>
  <si>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</si>
  <si>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</si>
  <si>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</si>
  <si>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</si>
  <si>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</si>
  <si>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</si>
  <si>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</si>
  <si>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</si>
  <si>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</si>
  <si>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</si>
  <si>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</si>
  <si>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</si>
  <si>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</si>
  <si>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</si>
  <si>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</si>
  <si>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</si>
  <si>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</si>
  <si>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</si>
  <si>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</si>
  <si>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</si>
  <si>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</si>
  <si>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</si>
  <si>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</si>
  <si>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</si>
  <si>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</si>
  <si>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</si>
  <si>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</si>
  <si>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</si>
  <si>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</si>
  <si>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</si>
  <si>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</si>
  <si>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</si>
  <si>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</si>
  <si>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</si>
  <si>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</si>
  <si>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</si>
  <si>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</si>
  <si>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</si>
  <si>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</si>
  <si>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</si>
  <si>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</si>
  <si>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</si>
  <si>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</si>
  <si>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</si>
  <si>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</si>
  <si>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</si>
  <si>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</si>
  <si>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</si>
  <si>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</si>
  <si>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</si>
  <si>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</si>
  <si>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</si>
  <si>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</si>
  <si>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</si>
  <si>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</si>
  <si>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</si>
  <si>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</si>
  <si>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</si>
  <si>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</si>
  <si>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</si>
  <si>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</si>
  <si>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</si>
  <si>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</si>
  <si>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</si>
  <si>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</si>
  <si>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</si>
  <si>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</si>
  <si>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</si>
  <si>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</si>
  <si>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</si>
  <si>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</si>
  <si>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</si>
  <si>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</si>
  <si>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</si>
  <si>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</si>
  <si>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</si>
  <si>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</si>
  <si>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</si>
  <si>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</si>
  <si>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</si>
  <si>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</si>
  <si>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</si>
  <si>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</si>
  <si>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</si>
  <si>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</si>
  <si>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</si>
  <si>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</si>
  <si>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</si>
  <si>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</si>
  <si>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</si>
  <si>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</si>
  <si>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</si>
  <si>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</si>
  <si>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</si>
  <si>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</si>
  <si>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</si>
  <si>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</si>
  <si>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</si>
  <si>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</si>
  <si>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</si>
  <si>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</si>
  <si>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</si>
  <si>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</si>
  <si>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</si>
  <si>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</si>
  <si>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</si>
  <si>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</si>
  <si>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</si>
  <si>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</si>
  <si>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</si>
  <si>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</si>
  <si>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</si>
  <si>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</si>
  <si>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</si>
  <si>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</si>
  <si>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</si>
  <si>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</si>
  <si>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</si>
  <si>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</si>
  <si>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</si>
  <si>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</si>
  <si>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</si>
  <si>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</si>
  <si>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</si>
  <si>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</si>
  <si>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</si>
  <si>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</si>
  <si>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</si>
  <si>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</si>
  <si>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</si>
  <si>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</si>
  <si>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</si>
  <si>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</si>
  <si>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</si>
  <si>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</si>
  <si>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</si>
  <si>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</si>
  <si>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</si>
  <si>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</si>
  <si>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</si>
  <si>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</si>
  <si>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</si>
  <si>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</si>
  <si>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</si>
  <si>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</si>
  <si>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</si>
  <si>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</si>
  <si>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</si>
  <si>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</si>
  <si>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</si>
  <si>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</si>
  <si>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</si>
  <si>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</si>
  <si>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</si>
  <si>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</si>
  <si>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</si>
  <si>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</si>
  <si>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</si>
  <si>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</si>
  <si>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</si>
  <si>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</si>
  <si>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</si>
  <si>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</si>
  <si>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</si>
  <si>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</si>
  <si>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</si>
  <si>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</si>
  <si>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</si>
  <si>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</si>
  <si>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</si>
  <si>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</si>
  <si>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</si>
  <si>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</si>
  <si>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</si>
  <si>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</si>
  <si>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</si>
  <si>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</si>
  <si>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</si>
  <si>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</si>
  <si>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</si>
  <si>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</si>
  <si>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</si>
  <si>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</si>
  <si>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</si>
  <si>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</si>
  <si>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</si>
  <si>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</si>
  <si>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</si>
  <si>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</si>
  <si>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</si>
  <si>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</si>
  <si>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</si>
  <si>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</si>
  <si>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</si>
  <si>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</si>
  <si>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</si>
  <si>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</si>
  <si>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</si>
  <si>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</si>
  <si>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</si>
  <si>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</si>
  <si>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</si>
  <si>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</si>
  <si>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</si>
  <si>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</si>
  <si>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</si>
  <si>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</si>
  <si>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</si>
  <si>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</si>
  <si>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</si>
  <si>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</si>
  <si>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</si>
  <si>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</si>
  <si>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</si>
  <si>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</si>
  <si>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</si>
  <si>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</si>
  <si>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</si>
  <si>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</si>
  <si>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</si>
  <si>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</si>
  <si>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</si>
  <si>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</si>
  <si>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</si>
  <si>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</si>
  <si>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</si>
  <si>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</si>
  <si>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</si>
  <si>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</si>
  <si>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</si>
  <si>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</si>
  <si>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</si>
  <si>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</si>
  <si>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</si>
  <si>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</si>
  <si>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</si>
  <si>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</si>
  <si>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</si>
  <si>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</si>
  <si>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</si>
  <si>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</si>
  <si>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</si>
  <si>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</si>
  <si>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</si>
  <si>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</si>
  <si>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</si>
  <si>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</si>
  <si>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</si>
  <si>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</si>
  <si>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</si>
  <si>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</si>
  <si>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</si>
  <si>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</si>
  <si>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</si>
  <si>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</si>
  <si>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</si>
  <si>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</si>
  <si>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</si>
  <si>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</si>
  <si>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</si>
  <si>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</si>
  <si>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</si>
  <si>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</si>
  <si>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</si>
  <si>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</si>
  <si>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</si>
  <si>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</si>
  <si>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</si>
  <si>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</si>
  <si>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</si>
  <si>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</si>
  <si>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</si>
  <si>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</si>
  <si>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</si>
  <si>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</si>
  <si>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</si>
  <si>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</si>
  <si>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</si>
  <si>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</si>
  <si>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</si>
  <si>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</si>
  <si>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</si>
  <si>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</si>
  <si>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</si>
  <si>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</si>
  <si>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</si>
  <si>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</si>
  <si>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</si>
  <si>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</si>
  <si>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</si>
  <si>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</si>
  <si>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</si>
  <si>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</si>
  <si>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</si>
  <si>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</si>
  <si>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</si>
  <si>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</si>
  <si>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</si>
  <si>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</si>
  <si>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</si>
  <si>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</si>
  <si>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</si>
  <si>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</si>
  <si>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</si>
  <si>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</si>
  <si>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</si>
  <si>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</si>
  <si>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</si>
  <si>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</si>
  <si>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</si>
  <si>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</si>
  <si>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</si>
  <si>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</si>
  <si>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</si>
  <si>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</si>
  <si>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</si>
  <si>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</si>
  <si>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</si>
  <si>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</si>
  <si>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</si>
  <si>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</si>
  <si>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</si>
  <si>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</si>
  <si>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</si>
  <si>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</si>
  <si>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</si>
  <si>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</si>
  <si>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</si>
  <si>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</si>
  <si>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</si>
  <si>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</si>
  <si>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</si>
  <si>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</si>
  <si>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</si>
  <si>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</si>
  <si>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</si>
  <si>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</si>
  <si>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</si>
  <si>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</si>
  <si>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</si>
  <si>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</si>
  <si>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</si>
  <si>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</si>
  <si>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</si>
  <si>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</si>
  <si>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</si>
  <si>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</si>
  <si>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</si>
  <si>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</si>
  <si>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</si>
  <si>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</si>
  <si>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</si>
  <si>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</si>
  <si>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</si>
  <si>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</si>
  <si>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</si>
  <si>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</si>
  <si>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</si>
  <si>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</si>
  <si>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</si>
  <si>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</si>
  <si>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</si>
  <si>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</si>
  <si>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</si>
  <si>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</si>
  <si>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</si>
  <si>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</si>
  <si>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</si>
  <si>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</si>
  <si>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</si>
  <si>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</si>
  <si>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</si>
  <si>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</si>
  <si>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</si>
  <si>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</si>
  <si>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</si>
  <si>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</si>
  <si>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</si>
  <si>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</si>
  <si>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</si>
  <si>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</si>
  <si>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</si>
  <si>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</si>
  <si>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</si>
  <si>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</si>
  <si>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</si>
  <si>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</si>
  <si>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</si>
  <si>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</si>
  <si>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</si>
  <si>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</si>
  <si>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</si>
  <si>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</si>
  <si>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</si>
  <si>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</si>
  <si>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</si>
  <si>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</si>
  <si>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</si>
  <si>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</si>
  <si>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</si>
  <si>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</si>
  <si>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</si>
  <si>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</si>
  <si>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</si>
  <si>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</si>
  <si>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</si>
  <si>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</si>
  <si>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</si>
  <si>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</si>
  <si>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</si>
  <si>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</si>
  <si>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</si>
  <si>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</si>
  <si>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</si>
  <si>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</si>
  <si>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</si>
  <si>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</si>
  <si>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</si>
  <si>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</si>
  <si>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</si>
  <si>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</si>
  <si>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</si>
  <si>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</si>
  <si>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</si>
  <si>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</si>
  <si>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</si>
  <si>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</si>
  <si>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</si>
  <si>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</si>
  <si>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</si>
  <si>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</si>
  <si>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</si>
  <si>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</si>
  <si>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</si>
  <si>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</si>
  <si>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</si>
  <si>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</si>
  <si>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</si>
  <si>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</si>
  <si>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</si>
  <si>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</si>
  <si>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</si>
  <si>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</si>
  <si>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</si>
  <si>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</si>
  <si>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</si>
  <si>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</si>
  <si>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</si>
  <si>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</si>
  <si>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</si>
  <si>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</si>
  <si>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</si>
  <si>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</si>
  <si>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</si>
  <si>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</si>
  <si>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</si>
  <si>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</si>
  <si>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</si>
  <si>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</si>
  <si>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</si>
  <si>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</si>
  <si>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</si>
  <si>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</si>
  <si>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</si>
  <si>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</si>
  <si>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</si>
  <si>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</si>
  <si>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</si>
  <si>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</si>
  <si>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</si>
  <si>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</si>
  <si>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</si>
  <si>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</si>
  <si>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</si>
  <si>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</si>
  <si>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</si>
  <si>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</si>
  <si>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</si>
  <si>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</si>
  <si>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</si>
  <si>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</si>
  <si>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</si>
  <si>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</si>
  <si>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</si>
  <si>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</si>
  <si>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</si>
  <si>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</si>
  <si>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</si>
  <si>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</si>
  <si>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</si>
  <si>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</si>
  <si>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</si>
  <si>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</si>
  <si>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</si>
  <si>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</si>
  <si>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</si>
  <si>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</si>
  <si>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</si>
  <si>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</si>
  <si>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</si>
  <si>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</si>
  <si>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</si>
  <si>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</si>
  <si>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</si>
  <si>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</si>
  <si>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</si>
  <si>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</si>
  <si>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</si>
  <si>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</si>
  <si>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</si>
  <si>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</si>
  <si>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</si>
  <si>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</si>
  <si>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</si>
  <si>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</si>
  <si>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</si>
  <si>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</si>
  <si>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</si>
  <si>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</si>
  <si>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</si>
  <si>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</si>
  <si>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</si>
  <si>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</si>
  <si>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</si>
  <si>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</si>
  <si>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</si>
  <si>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</si>
  <si>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</si>
  <si>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</si>
  <si>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</si>
  <si>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</si>
  <si>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</si>
  <si>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</si>
  <si>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</si>
  <si>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</si>
  <si>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</si>
  <si>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</si>
  <si>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</si>
  <si>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</si>
  <si>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</si>
  <si>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</si>
  <si>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</si>
  <si>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</si>
  <si>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</si>
  <si>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</si>
  <si>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</si>
  <si>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</si>
  <si>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</si>
  <si>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</si>
  <si>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</si>
  <si>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</si>
  <si>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</si>
  <si>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</si>
  <si>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</si>
  <si>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</si>
  <si>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</si>
  <si>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</si>
  <si>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</si>
  <si>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</si>
  <si>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</si>
  <si>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</si>
  <si>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</si>
  <si>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</si>
  <si>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</si>
  <si>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</si>
  <si>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</si>
  <si>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</si>
  <si>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</si>
  <si>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</si>
  <si>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</si>
  <si>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</si>
  <si>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</si>
  <si>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</si>
  <si>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</si>
  <si>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</si>
  <si>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</si>
  <si>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</si>
  <si>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</si>
  <si>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</si>
  <si>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</si>
  <si>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</si>
  <si>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</si>
  <si>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</si>
  <si>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</si>
  <si>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</si>
  <si>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</si>
  <si>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</si>
  <si>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</si>
  <si>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</si>
  <si>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</si>
  <si>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</si>
  <si>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</si>
  <si>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</si>
  <si>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</si>
  <si>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</si>
  <si>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</si>
  <si>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</si>
  <si>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</si>
  <si>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</si>
  <si>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</si>
  <si>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</si>
  <si>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</si>
  <si>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</si>
  <si>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</si>
  <si>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</si>
  <si>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</si>
  <si>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</si>
  <si>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</si>
  <si>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</si>
  <si>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</si>
  <si>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</si>
  <si>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</si>
  <si>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</si>
  <si>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</si>
  <si>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</si>
  <si>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</si>
  <si>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</si>
  <si>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</si>
  <si>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</si>
  <si>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</si>
  <si>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</si>
  <si>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</si>
  <si>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</si>
  <si>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</si>
  <si>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</si>
  <si>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</si>
  <si>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</si>
  <si>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</si>
  <si>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</si>
  <si>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</si>
  <si>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</si>
  <si>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</si>
  <si>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</si>
  <si>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</si>
  <si>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</si>
  <si>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</si>
  <si>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</si>
  <si>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</si>
  <si>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</si>
  <si>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</si>
  <si>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</si>
  <si>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</si>
  <si>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</si>
  <si>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</si>
  <si>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</si>
  <si>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</si>
  <si>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</si>
  <si>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</si>
  <si>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</si>
  <si>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</si>
  <si>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</si>
  <si>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</si>
  <si>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</si>
  <si>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</si>
  <si>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</si>
  <si>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</si>
  <si>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</si>
  <si>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</si>
  <si>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</si>
  <si>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</si>
  <si>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</si>
  <si>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</si>
  <si>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</si>
  <si>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</si>
  <si>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</si>
  <si>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</si>
  <si>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</si>
  <si>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</si>
  <si>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</si>
  <si>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</si>
  <si>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</si>
  <si>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</si>
  <si>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</si>
  <si>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</si>
  <si>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</si>
  <si>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</si>
  <si>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</si>
  <si>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</si>
  <si>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</si>
  <si>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</si>
  <si>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</si>
  <si>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</si>
  <si>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</si>
  <si>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</si>
  <si>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</si>
  <si>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</si>
  <si>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Date</t>
  </si>
  <si>
    <t>Saturday</t>
  </si>
  <si>
    <t>Wednesday</t>
  </si>
  <si>
    <t>Friday</t>
  </si>
  <si>
    <t>Sunday</t>
  </si>
  <si>
    <t>Monday</t>
  </si>
  <si>
    <t>Tuesday</t>
  </si>
  <si>
    <t>Thursday</t>
  </si>
  <si>
    <t>Sum of Revenue</t>
  </si>
  <si>
    <t>Average of diff_order-delivery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</si>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</sst>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business analysis dashboard.xlsx]Sheet1!PivotTable7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Sheet1!$M$16</c:f>
              <c:strCache>
                <c:ptCount val="1"/>
                <c:pt idx="0">
                  <c:v>Total</c:v>
                </c:pt>
              </c:strCache>
            </c:strRef>
          </c:tx>
          <c:spPr>
            <a:solidFill>
              <a:schemeClr val="accent1"/>
            </a:solidFill>
            <a:ln>
              <a:noFill/>
            </a:ln>
            <a:effectLst/>
          </c:spPr>
          <c:invertIfNegative val="0"/>
          <c:cat>
            <c:strRef>
              <c:f>Sheet1!$L$17:$L$24</c:f>
              <c:strCache>
                <c:ptCount val="7"/>
                <c:pt idx="0">
                  <c:v>Cake</c:v>
                </c:pt>
                <c:pt idx="1">
                  <c:v>Colors</c:v>
                </c:pt>
                <c:pt idx="2">
                  <c:v>Mugs</c:v>
                </c:pt>
                <c:pt idx="3">
                  <c:v>Plants</c:v>
                </c:pt>
                <c:pt idx="4">
                  <c:v>Raksha Bandhan</c:v>
                </c:pt>
                <c:pt idx="5">
                  <c:v>Soft Toys</c:v>
                </c:pt>
                <c:pt idx="6">
                  <c:v>Sweets</c:v>
                </c:pt>
              </c:strCache>
            </c:strRef>
          </c:cat>
          <c:val>
            <c:numRef>
              <c:f>Sheet1!$M$17:$M$24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448-4DB7-A8E3-F6D6C4263E78}"/>
            </c:ext>
          </c:extLst>
        </c:ser>
        <c:dLbls>
          <c:showLegendKey val="0"/>
          <c:showVal val="0"/>
          <c:showCatName val="0"/>
          <c:showSerName val="0"/>
          <c:showPercent val="0"/>
          <c:showBubbleSize val="0"/>
        </c:dLbls>
        <c:gapWidth val="219"/>
        <c:overlap val="-27"/>
        <c:axId val="404508735"/>
        <c:axId val="1966881807"/>
      </c:barChart>
      <c:catAx>
        <c:axId val="4045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1807"/>
        <c:crosses val="autoZero"/>
        <c:auto val="1"/>
        <c:lblAlgn val="ctr"/>
        <c:lblOffset val="100"/>
        <c:noMultiLvlLbl val="0"/>
      </c:catAx>
      <c:valAx>
        <c:axId val="196688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0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business analysis dashboard.xlsx]Sheet1!PivotTable9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Sheet1!$S$16</c:f>
              <c:strCache>
                <c:ptCount val="1"/>
                <c:pt idx="0">
                  <c:v>Total</c:v>
                </c:pt>
              </c:strCache>
            </c:strRef>
          </c:tx>
          <c:spPr>
            <a:solidFill>
              <a:schemeClr val="accent1"/>
            </a:solidFill>
            <a:ln>
              <a:noFill/>
            </a:ln>
            <a:effectLst/>
          </c:spPr>
          <c:invertIfNegative val="0"/>
          <c:cat>
            <c:strRef>
              <c:f>Sheet1!$R$17:$R$24</c:f>
              <c:strCache>
                <c:ptCount val="7"/>
                <c:pt idx="0">
                  <c:v>All Occasions</c:v>
                </c:pt>
                <c:pt idx="1">
                  <c:v>Anniversary</c:v>
                </c:pt>
                <c:pt idx="2">
                  <c:v>Birthday</c:v>
                </c:pt>
                <c:pt idx="3">
                  <c:v>Diwali</c:v>
                </c:pt>
                <c:pt idx="4">
                  <c:v>Holi</c:v>
                </c:pt>
                <c:pt idx="5">
                  <c:v>Raksha Bandhan</c:v>
                </c:pt>
                <c:pt idx="6">
                  <c:v>Valentine's Day</c:v>
                </c:pt>
              </c:strCache>
            </c:strRef>
          </c:cat>
          <c:val>
            <c:numRef>
              <c:f>Sheet1!$S$17:$S$24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322-48FB-9513-A6AB3D53690B}"/>
            </c:ext>
          </c:extLst>
        </c:ser>
        <c:dLbls>
          <c:showLegendKey val="0"/>
          <c:showVal val="0"/>
          <c:showCatName val="0"/>
          <c:showSerName val="0"/>
          <c:showPercent val="0"/>
          <c:showBubbleSize val="0"/>
        </c:dLbls>
        <c:gapWidth val="219"/>
        <c:overlap val="-27"/>
        <c:axId val="404604783"/>
        <c:axId val="1966882287"/>
      </c:barChart>
      <c:catAx>
        <c:axId val="40460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2287"/>
        <c:crosses val="autoZero"/>
        <c:auto val="1"/>
        <c:lblAlgn val="ctr"/>
        <c:lblOffset val="100"/>
        <c:noMultiLvlLbl val="0"/>
      </c:catAx>
      <c:valAx>
        <c:axId val="1966882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0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business analysis dashboard.xlsx]Sheet1!PivotTable4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Sheet1!$C$12</c:f>
              <c:strCache>
                <c:ptCount val="1"/>
                <c:pt idx="0">
                  <c:v>Total</c:v>
                </c:pt>
              </c:strCache>
            </c:strRef>
          </c:tx>
          <c:spPr>
            <a:ln w="28575" cap="rnd">
              <a:solidFill>
                <a:schemeClr val="accent1"/>
              </a:solidFill>
              <a:round/>
            </a:ln>
            <a:effectLst/>
          </c:spPr>
          <c:marker>
            <c:symbol val="none"/>
          </c:marker>
          <c:cat>
            <c:strRef>
              <c:f>Sheet1!$B$13:$B$25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Sheet1!$C$13:$C$25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9BA-48E6-9432-1362998FEDD7}"/>
            </c:ext>
          </c:extLst>
        </c:ser>
        <c:dLbls>
          <c:showLegendKey val="0"/>
          <c:showVal val="0"/>
          <c:showCatName val="0"/>
          <c:showSerName val="0"/>
          <c:showPercent val="0"/>
          <c:showBubbleSize val="0"/>
        </c:dLbls>
        <c:smooth val="0"/>
        <c:axId val="404600607"/>
        <c:axId val="1966847247"/>
      </c:lineChart>
      <c:catAx>
        <c:axId val="4046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47247"/>
        <c:crosses val="autoZero"/>
        <c:auto val="1"/>
        <c:lblAlgn val="ctr"/>
        <c:lblOffset val="100"/>
        <c:noMultiLvlLbl val="0"/>
      </c:catAx>
      <c:valAx>
        <c:axId val="1966847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business analysis dashboard.xlsx]Sheet1!PivotTable5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Sheet1!$H$19:$H$24</c:f>
              <c:strCache>
                <c:ptCount val="5"/>
                <c:pt idx="0">
                  <c:v>Deserunt Box</c:v>
                </c:pt>
                <c:pt idx="1">
                  <c:v>Dolores Gift</c:v>
                </c:pt>
                <c:pt idx="2">
                  <c:v>Harum Pack</c:v>
                </c:pt>
                <c:pt idx="3">
                  <c:v>Magnam Set</c:v>
                </c:pt>
                <c:pt idx="4">
                  <c:v>Quia Gift</c:v>
                </c:pt>
              </c:strCache>
            </c:strRef>
          </c:cat>
          <c:val>
            <c:numRef>
              <c:f>Sheet1!$I$19:$I$24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423-4ED0-B4A7-E8BEA9D2582C}"/>
            </c:ext>
          </c:extLst>
        </c:ser>
        <c:dLbls>
          <c:showLegendKey val="0"/>
          <c:showVal val="0"/>
          <c:showCatName val="0"/>
          <c:showSerName val="0"/>
          <c:showPercent val="0"/>
          <c:showBubbleSize val="0"/>
        </c:dLbls>
        <c:gapWidth val="219"/>
        <c:overlap val="-27"/>
        <c:axId val="404590863"/>
        <c:axId val="1966867887"/>
      </c:barChart>
      <c:catAx>
        <c:axId val="4045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67887"/>
        <c:crosses val="autoZero"/>
        <c:auto val="1"/>
        <c:lblAlgn val="ctr"/>
        <c:lblOffset val="100"/>
        <c:noMultiLvlLbl val="0"/>
      </c:catAx>
      <c:valAx>
        <c:axId val="1966867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9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business analysis dashboard.xlsx]Sheet1!PivotTable8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Sheet1!$P$12</c:f>
              <c:strCache>
                <c:ptCount val="1"/>
                <c:pt idx="0">
                  <c:v>Total</c:v>
                </c:pt>
              </c:strCache>
            </c:strRef>
          </c:tx>
          <c:spPr>
            <a:solidFill>
              <a:schemeClr val="accent1"/>
            </a:solidFill>
            <a:ln>
              <a:noFill/>
            </a:ln>
            <a:effectLst/>
          </c:spPr>
          <c:invertIfNegative val="0"/>
          <c:cat>
            <c:strRef>
              <c:f>Sheet1!$O$13:$O$23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Sheet1!$P$13:$P$23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433-4CC0-9EC0-C07A66A960EC}"/>
            </c:ext>
          </c:extLst>
        </c:ser>
        <c:dLbls>
          <c:showLegendKey val="0"/>
          <c:showVal val="0"/>
          <c:showCatName val="0"/>
          <c:showSerName val="0"/>
          <c:showPercent val="0"/>
          <c:showBubbleSize val="0"/>
        </c:dLbls>
        <c:gapWidth val="219"/>
        <c:overlap val="-27"/>
        <c:axId val="1973194751"/>
        <c:axId val="1966883247"/>
      </c:barChart>
      <c:catAx>
        <c:axId val="19731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3247"/>
        <c:crosses val="autoZero"/>
        <c:auto val="1"/>
        <c:lblAlgn val="ctr"/>
        <c:lblOffset val="100"/>
        <c:noMultiLvlLbl val="0"/>
      </c:catAx>
      <c:valAx>
        <c:axId val="196688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9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155787</xdr:colOff>
      <xdr:row>25</xdr:row>
      <xdr:rowOff>123190</xdr:rowOff>
    </xdr:from>
    <xdr:to>
      <xdr:col>8</xdr:col>
      <xdr:colOff>567539</xdr:colOff>
      <xdr:row>39</xdr:row>
      <xdr:rowOff>32809</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06F2B25F-B507-C7FE-2CA2-4DEC260F2D0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488240" y="4795832"/>
              <a:ext cx="1849488" cy="2526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219809</xdr:colOff>
      <xdr:row>1</xdr:row>
      <xdr:rowOff>0</xdr:rowOff>
    </xdr:from>
    <xdr:to>
      <xdr:col>7</xdr:col>
      <xdr:colOff>524608</xdr:colOff>
      <xdr:row>16</xdr:row>
      <xdr:rowOff>1</xdr:rowOff>
    </xdr:to>
    <xdr:graphicFrame macro="">
      <xdr:nvGraphicFramePr>
        <xdr:cNvPr id="2" name="Chart 1">
          <a:extLst>
            <a:ext uri="{FF2B5EF4-FFF2-40B4-BE49-F238E27FC236}">
              <a16:creationId xmlns:a16="http://schemas.microsoft.com/office/drawing/2014/main" id="{19622346-7475-4858-AE6A-0C6DD1CAB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xdr:row>
      <xdr:rowOff>0</xdr:rowOff>
    </xdr:from>
    <xdr:to>
      <xdr:col>15</xdr:col>
      <xdr:colOff>304801</xdr:colOff>
      <xdr:row>16</xdr:row>
      <xdr:rowOff>1</xdr:rowOff>
    </xdr:to>
    <xdr:graphicFrame macro="">
      <xdr:nvGraphicFramePr>
        <xdr:cNvPr id="3" name="Chart 2">
          <a:extLst>
            <a:ext uri="{FF2B5EF4-FFF2-40B4-BE49-F238E27FC236}">
              <a16:creationId xmlns:a16="http://schemas.microsoft.com/office/drawing/2014/main" id="{177E6A8A-59E8-4004-85DC-6D520D99C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234462</xdr:colOff>
      <xdr:row>17</xdr:row>
      <xdr:rowOff>14654</xdr:rowOff>
    </xdr:from>
    <xdr:to>
      <xdr:col>7</xdr:col>
      <xdr:colOff>539261</xdr:colOff>
      <xdr:row>32</xdr:row>
      <xdr:rowOff>14654</xdr:rowOff>
    </xdr:to>
    <xdr:graphicFrame macro="">
      <xdr:nvGraphicFramePr>
        <xdr:cNvPr id="4" name="Chart 3">
          <a:extLst>
            <a:ext uri="{FF2B5EF4-FFF2-40B4-BE49-F238E27FC236}">
              <a16:creationId xmlns:a16="http://schemas.microsoft.com/office/drawing/2014/main" id="{23C806DD-E25A-4C75-9C30-2F80259A7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xdr:row>
      <xdr:rowOff>0</xdr:rowOff>
    </xdr:from>
    <xdr:to>
      <xdr:col>15</xdr:col>
      <xdr:colOff>304800</xdr:colOff>
      <xdr:row>32</xdr:row>
      <xdr:rowOff>0</xdr:rowOff>
    </xdr:to>
    <xdr:graphicFrame macro="">
      <xdr:nvGraphicFramePr>
        <xdr:cNvPr id="5" name="Chart 4">
          <a:extLst>
            <a:ext uri="{FF2B5EF4-FFF2-40B4-BE49-F238E27FC236}">
              <a16:creationId xmlns:a16="http://schemas.microsoft.com/office/drawing/2014/main" id="{A15B2934-CF12-4B89-A210-21D819516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410307</xdr:colOff>
      <xdr:row>1</xdr:row>
      <xdr:rowOff>0</xdr:rowOff>
    </xdr:from>
    <xdr:to>
      <xdr:col>23</xdr:col>
      <xdr:colOff>99646</xdr:colOff>
      <xdr:row>16</xdr:row>
      <xdr:rowOff>0</xdr:rowOff>
    </xdr:to>
    <xdr:graphicFrame macro="">
      <xdr:nvGraphicFramePr>
        <xdr:cNvPr id="6" name="Chart 5">
          <a:extLst>
            <a:ext uri="{FF2B5EF4-FFF2-40B4-BE49-F238E27FC236}">
              <a16:creationId xmlns:a16="http://schemas.microsoft.com/office/drawing/2014/main" id="{77F9EEBD-DD70-4172-BDD1-AF9F0A1DE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xdr:colOff>
      <xdr:row>17</xdr:row>
      <xdr:rowOff>14654</xdr:rowOff>
    </xdr:from>
    <xdr:to>
      <xdr:col>18</xdr:col>
      <xdr:colOff>249116</xdr:colOff>
      <xdr:row>19</xdr:row>
      <xdr:rowOff>146538</xdr:rowOff>
    </xdr:to>
    <xdr:sp macro="" textlink="">
      <xdr:nvSpPr>
        <xdr:cNvPr id="7" name="Rectangle: Rounded Corners 6">
          <a:extLst>
            <a:ext uri="{FF2B5EF4-FFF2-40B4-BE49-F238E27FC236}">
              <a16:creationId xmlns:a16="http://schemas.microsoft.com/office/drawing/2014/main" id="{223B27CF-6F91-589B-5AA7-E7C6203C3089}"/>
            </a:ext>
          </a:extLst>
        </xdr:cNvPr>
        <xdr:cNvSpPr/>
      </xdr:nvSpPr>
      <xdr:spPr>
        <a:xfrm>
          <a:off x="9847386" y="3004039"/>
          <a:ext cx="1480038" cy="483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1000 Total Orders</a:t>
          </a:r>
        </a:p>
      </xdr:txBody>
    </xdr:sp>
    <xdr:clientData/>
  </xdr:twoCellAnchor>
  <xdr:twoCellAnchor editAs="oneCell">
    <xdr:from>
      <xdr:col>19</xdr:col>
      <xdr:colOff>249115</xdr:colOff>
      <xdr:row>17</xdr:row>
      <xdr:rowOff>29308</xdr:rowOff>
    </xdr:from>
    <xdr:to>
      <xdr:col>22</xdr:col>
      <xdr:colOff>244230</xdr:colOff>
      <xdr:row>30</xdr:row>
      <xdr:rowOff>171760</xdr:rowOff>
    </xdr:to>
    <mc:AlternateContent xmlns:mc="http://schemas.openxmlformats.org/markup-compatibility/2006">
      <mc:Choice xmlns:a14="http://schemas.microsoft.com/office/drawing/2010/main" Requires="a14">
        <xdr:graphicFrame macro="">
          <xdr:nvGraphicFramePr>
            <xdr:cNvPr id="11" name="Occasion 1">
              <a:extLst>
                <a:ext uri="{FF2B5EF4-FFF2-40B4-BE49-F238E27FC236}">
                  <a16:creationId xmlns:a16="http://schemas.microsoft.com/office/drawing/2014/main" id="{855F8F3E-27FE-4ACA-B267-CEEA8D375D4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875388" y="3169672"/>
              <a:ext cx="1830842" cy="2543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5862</xdr:colOff>
      <xdr:row>20</xdr:row>
      <xdr:rowOff>108439</xdr:rowOff>
    </xdr:from>
    <xdr:to>
      <xdr:col>18</xdr:col>
      <xdr:colOff>254977</xdr:colOff>
      <xdr:row>23</xdr:row>
      <xdr:rowOff>64476</xdr:rowOff>
    </xdr:to>
    <xdr:sp macro="" textlink="">
      <xdr:nvSpPr>
        <xdr:cNvPr id="12" name="Rectangle: Rounded Corners 11">
          <a:extLst>
            <a:ext uri="{FF2B5EF4-FFF2-40B4-BE49-F238E27FC236}">
              <a16:creationId xmlns:a16="http://schemas.microsoft.com/office/drawing/2014/main" id="{E836F66E-F098-469A-88EB-3BD6E412A79A}"/>
            </a:ext>
          </a:extLst>
        </xdr:cNvPr>
        <xdr:cNvSpPr/>
      </xdr:nvSpPr>
      <xdr:spPr>
        <a:xfrm>
          <a:off x="9796407" y="3802984"/>
          <a:ext cx="1472934" cy="5102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i="0" u="none" strike="noStrike">
              <a:solidFill>
                <a:schemeClr val="lt1"/>
              </a:solidFill>
              <a:effectLst/>
              <a:latin typeface="+mn-lt"/>
              <a:ea typeface="+mn-ea"/>
              <a:cs typeface="+mn-cs"/>
            </a:rPr>
            <a:t>₹ 35,20,984.00 </a:t>
          </a:r>
        </a:p>
        <a:p>
          <a:pPr algn="ctr"/>
          <a:r>
            <a:rPr lang="en-IN" sz="1000" b="1" i="0" u="none" strike="noStrike">
              <a:solidFill>
                <a:schemeClr val="lt1"/>
              </a:solidFill>
              <a:effectLst/>
              <a:latin typeface="+mn-lt"/>
              <a:ea typeface="+mn-ea"/>
              <a:cs typeface="+mn-cs"/>
            </a:rPr>
            <a:t>Total Revenue</a:t>
          </a:r>
          <a:r>
            <a:rPr lang="en-IN" sz="1200" b="1">
              <a:effectLst/>
            </a:rPr>
            <a:t> </a:t>
          </a:r>
          <a:endParaRPr lang="en-IN" sz="1200" b="1"/>
        </a:p>
      </xdr:txBody>
    </xdr:sp>
    <xdr:clientData/>
  </xdr:twoCellAnchor>
  <xdr:twoCellAnchor>
    <xdr:from>
      <xdr:col>16</xdr:col>
      <xdr:colOff>11724</xdr:colOff>
      <xdr:row>24</xdr:row>
      <xdr:rowOff>41031</xdr:rowOff>
    </xdr:from>
    <xdr:to>
      <xdr:col>18</xdr:col>
      <xdr:colOff>260839</xdr:colOff>
      <xdr:row>26</xdr:row>
      <xdr:rowOff>172915</xdr:rowOff>
    </xdr:to>
    <xdr:sp macro="" textlink="">
      <xdr:nvSpPr>
        <xdr:cNvPr id="13" name="Rectangle: Rounded Corners 12">
          <a:extLst>
            <a:ext uri="{FF2B5EF4-FFF2-40B4-BE49-F238E27FC236}">
              <a16:creationId xmlns:a16="http://schemas.microsoft.com/office/drawing/2014/main" id="{95A3A1F4-7ADA-47B9-AFFE-E59471246E65}"/>
            </a:ext>
          </a:extLst>
        </xdr:cNvPr>
        <xdr:cNvSpPr/>
      </xdr:nvSpPr>
      <xdr:spPr>
        <a:xfrm>
          <a:off x="9859109" y="4261339"/>
          <a:ext cx="1480038" cy="483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5.53 Avg of Delivery</a:t>
          </a:r>
          <a:r>
            <a:rPr lang="en-IN" sz="1000" b="1" baseline="0"/>
            <a:t> days</a:t>
          </a:r>
          <a:endParaRPr lang="en-IN" sz="1000" b="1"/>
        </a:p>
      </xdr:txBody>
    </xdr:sp>
    <xdr:clientData/>
  </xdr:twoCellAnchor>
  <xdr:twoCellAnchor>
    <xdr:from>
      <xdr:col>16</xdr:col>
      <xdr:colOff>17586</xdr:colOff>
      <xdr:row>27</xdr:row>
      <xdr:rowOff>164123</xdr:rowOff>
    </xdr:from>
    <xdr:to>
      <xdr:col>18</xdr:col>
      <xdr:colOff>266701</xdr:colOff>
      <xdr:row>30</xdr:row>
      <xdr:rowOff>120160</xdr:rowOff>
    </xdr:to>
    <xdr:sp macro="" textlink="">
      <xdr:nvSpPr>
        <xdr:cNvPr id="14" name="Rectangle: Rounded Corners 13">
          <a:extLst>
            <a:ext uri="{FF2B5EF4-FFF2-40B4-BE49-F238E27FC236}">
              <a16:creationId xmlns:a16="http://schemas.microsoft.com/office/drawing/2014/main" id="{98D97A23-08DB-4510-90E7-FCB65907756C}"/>
            </a:ext>
          </a:extLst>
        </xdr:cNvPr>
        <xdr:cNvSpPr/>
      </xdr:nvSpPr>
      <xdr:spPr>
        <a:xfrm>
          <a:off x="9864971" y="4911969"/>
          <a:ext cx="1480038" cy="483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i="0" u="none" strike="noStrike">
              <a:solidFill>
                <a:schemeClr val="lt1"/>
              </a:solidFill>
              <a:effectLst/>
              <a:latin typeface="+mn-lt"/>
              <a:ea typeface="+mn-ea"/>
              <a:cs typeface="+mn-cs"/>
            </a:rPr>
            <a:t>₹ 3,520.98 Average of Customer Spending</a:t>
          </a:r>
          <a:r>
            <a:rPr lang="en-IN" sz="1000" b="1">
              <a:effectLst/>
            </a:rPr>
            <a:t>   </a:t>
          </a:r>
          <a:endParaRPr lang="en-IN" sz="1000" b="1"/>
        </a:p>
      </xdr:txBody>
    </xdr:sp>
    <xdr:clientData/>
  </xdr:twoCellAnchor>
  <xdr:twoCellAnchor editAs="oneCell">
    <xdr:from>
      <xdr:col>0</xdr:col>
      <xdr:colOff>219809</xdr:colOff>
      <xdr:row>33</xdr:row>
      <xdr:rowOff>19343</xdr:rowOff>
    </xdr:from>
    <xdr:to>
      <xdr:col>9</xdr:col>
      <xdr:colOff>395655</xdr:colOff>
      <xdr:row>40</xdr:row>
      <xdr:rowOff>160020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993308AE-711C-CCE6-36F0-BF4AEF6FFD8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19809" y="6115343"/>
              <a:ext cx="5683028" cy="14337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5787039" backgroundQuery="1" createdVersion="8" refreshedVersion="8" minRefreshableVersion="3" recordCount="0" supportSubquery="1" supportAdvancedDrill="1" xr:uid="{008D9D75-0A32-4FDA-A2EA-78696723DC94}">
  <cacheSource type="external" connectionId="9"/>
  <cacheFields count="3">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te]" caption="Order Date" attribute="1" defaultMemberUniqueName="[orders].[Order Date].[All]" allUniqueName="[orders].[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6134262" backgroundQuery="1" createdVersion="8" refreshedVersion="8" minRefreshableVersion="3" recordCount="0" supportSubquery="1" supportAdvancedDrill="1" xr:uid="{2FE6FD48-59BC-40D6-88B8-E32ACE8BEAFC}">
  <cacheSource type="external" connectionId="9"/>
  <cacheFields count="4">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6250001" backgroundQuery="1" createdVersion="8" refreshedVersion="8" minRefreshableVersion="3" recordCount="0" supportSubquery="1" supportAdvancedDrill="1" xr:uid="{6F845478-5BA0-44ED-B2CE-9E04E329F873}">
  <cacheSource type="external" connectionId="9"/>
  <cacheFields count="3">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6365739" backgroundQuery="1" createdVersion="8" refreshedVersion="8" minRefreshableVersion="3" recordCount="0" supportSubquery="1" supportAdvancedDrill="1" xr:uid="{37FE5319-EBC0-4B4A-8F72-8CD4D4C7EA56}">
  <cacheSource type="external" connectionId="9"/>
  <cacheFields count="3">
    <cacheField name="[Measures].[Average of diff_order-delivery]" caption="Average of diff_order-delivery" numFmtId="0" hierarchy="4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6712963" backgroundQuery="1" createdVersion="8" refreshedVersion="8" minRefreshableVersion="3" recordCount="0" supportSubquery="1" supportAdvancedDrill="1" xr:uid="{55C54C14-AF8D-470A-8611-9870074DBA1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7060186" backgroundQuery="1" createdVersion="8" refreshedVersion="8" minRefreshableVersion="3" recordCount="0" supportSubquery="1" supportAdvancedDrill="1" xr:uid="{6DDD192D-EACA-47CD-855E-5D93B20B5118}">
  <cacheSource type="external" connectionId="9"/>
  <cacheFields count="4">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7060186" backgroundQuery="1" createdVersion="8" refreshedVersion="8" minRefreshableVersion="3" recordCount="0" supportSubquery="1" supportAdvancedDrill="1" xr:uid="{F87535AB-337D-46C8-9360-63C25A8D9CD3}">
  <cacheSource type="external" connectionId="9"/>
  <cacheFields count="3">
    <cacheField name="[Measures].[Average of Revenue]" caption="Average of Revenue" numFmtId="0" hierarchy="46"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7638887" backgroundQuery="1" createdVersion="8" refreshedVersion="8" minRefreshableVersion="3" recordCount="0" supportSubquery="1" supportAdvancedDrill="1" xr:uid="{BCCA1EBF-F9CC-456C-9AF7-C9CAF50E2A8D}">
  <cacheSource type="external" connectionId="9"/>
  <cacheFields count="4">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2570798611" backgroundQuery="1" createdVersion="8" refreshedVersion="8" minRefreshableVersion="3" recordCount="0" supportSubquery="1" supportAdvancedDrill="1" xr:uid="{ACE94943-ABF2-42AD-B13A-9A83FE64EC34}">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404246412036" backgroundQuery="1" createdVersion="3" refreshedVersion="8" minRefreshableVersion="3" recordCount="0" supportSubquery="1" supportAdvancedDrill="1" xr:uid="{5442EBB7-2CBD-4C68-950E-40E8BE2911FF}">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1888625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Bade" refreshedDate="46297.611524652777" backgroundQuery="1" createdVersion="3" refreshedVersion="8" minRefreshableVersion="3" recordCount="0" supportSubquery="1" supportAdvancedDrill="1" xr:uid="{2C61204A-21B4-4E99-9C50-DDD74FFA0281}">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te]" caption="Order Date" attribute="1" defaultMemberUniqueName="[orders].[Order Date].[All]" allUniqueName="[orders].[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204296112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3C5AEB-CFC8-4BE2-B6E7-A628FEA175E8}" name="PivotTable9" cacheId="653" applyNumberFormats="0" applyBorderFormats="0" applyFontFormats="0" applyPatternFormats="0" applyAlignmentFormats="0" applyWidthHeightFormats="1" dataCaption="Values" tag="f96560b3-aa15-4dce-a745-56988bff87a9" updatedVersion="8" minRefreshableVersion="5" useAutoFormatting="1" itemPrintTitles="1" createdVersion="8" indent="0" outline="1" outlineData="1" multipleFieldFilters="0" chartFormat="4">
  <location ref="R16:S2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74C25-347F-44CA-A05E-D51FDA339850}" name="PivotTable8" cacheId="677" applyNumberFormats="0" applyBorderFormats="0" applyFontFormats="0" applyPatternFormats="0" applyAlignmentFormats="0" applyWidthHeightFormats="1" dataCaption="Values" tag="4ae59386-5f5a-45f5-856b-2af75e5516d6" updatedVersion="8" minRefreshableVersion="5" useAutoFormatting="1" itemPrintTitles="1" createdVersion="8" indent="0" outline="1" outlineData="1" multipleFieldFilters="0" chartFormat="4">
  <location ref="O12:P23"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08633-05C2-4353-949B-21A2AFF08D19}" name="PivotTable7" cacheId="674" applyNumberFormats="0" applyBorderFormats="0" applyFontFormats="0" applyPatternFormats="0" applyAlignmentFormats="0" applyWidthHeightFormats="1" dataCaption="Values" tag="3c50f454-8e10-4681-a55d-4921419b11fe" updatedVersion="8" minRefreshableVersion="5" useAutoFormatting="1" itemPrintTitles="1" createdVersion="8" indent="0" outline="1" outlineData="1" multipleFieldFilters="0" chartFormat="6">
  <location ref="L16:M24"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1EB94-DE43-439C-AD94-2D38D3FFB5B6}" name="PivotTable6" cacheId="671" applyNumberFormats="0" applyBorderFormats="0" applyFontFormats="0" applyPatternFormats="0" applyAlignmentFormats="0" applyWidthHeightFormats="1" dataCaption="Values" tag="ec256853-2df3-4cb0-8b46-1b56217cbcd1" updatedVersion="8" minRefreshableVersion="5" useAutoFormatting="1" itemPrintTitles="1" createdVersion="8" indent="0" outline="1" outlineData="1" multipleFieldFilters="0">
  <location ref="L12:L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1ABBE8-7787-42AC-83FF-43C6E47AFA54}" name="PivotTable5" cacheId="668" applyNumberFormats="0" applyBorderFormats="0" applyFontFormats="0" applyPatternFormats="0" applyAlignmentFormats="0" applyWidthHeightFormats="1" dataCaption="Values" tag="f55dc847-b6a2-4ec5-83cd-266697d3ea81" updatedVersion="8" minRefreshableVersion="5" useAutoFormatting="1" itemPrintTitles="1" createdVersion="8" indent="0" outline="1" outlineData="1" multipleFieldFilters="0" chartFormat="4">
  <location ref="H18:I24"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5EF43-7AEF-43D1-82BA-6F7EC7C5776F}" name="PivotTable4" cacheId="665" applyNumberFormats="0" applyBorderFormats="0" applyFontFormats="0" applyPatternFormats="0" applyAlignmentFormats="0" applyWidthHeightFormats="1" dataCaption="Values" tag="c92e55c3-f5c1-4390-9b6b-2d958d989110" updatedVersion="8" minRefreshableVersion="5" useAutoFormatting="1" itemPrintTitles="1" createdVersion="8" indent="0" outline="1" outlineData="1" multipleFieldFilters="0" chartFormat="4">
  <location ref="B12:C25"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642F5-8F31-4765-A100-7F0C4D16D9FC}" name="PivotTable3" cacheId="662" applyNumberFormats="0" applyBorderFormats="0" applyFontFormats="0" applyPatternFormats="0" applyAlignmentFormats="0" applyWidthHeightFormats="1" dataCaption="Values" tag="767c7c73-5e49-4cac-a4dd-7a36189b7e6a" updatedVersion="8" minRefreshableVersion="5" useAutoFormatting="1" itemPrintTitles="1" createdVersion="8" indent="0" outline="1" outlineData="1" multipleFieldFilters="0">
  <location ref="J12:J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C06E70-8E10-4463-82A1-65875ED39D68}" name="PivotTable2" cacheId="659" applyNumberFormats="0" applyBorderFormats="0" applyFontFormats="0" applyPatternFormats="0" applyAlignmentFormats="0" applyWidthHeightFormats="1" dataCaption="Values" tag="29f427cd-79eb-459d-8dca-d1a9ac7de8d9" updatedVersion="8" minRefreshableVersion="5" useAutoFormatting="1" itemPrintTitles="1" createdVersion="8" indent="0" outline="1" outlineData="1" multipleFieldFilters="0">
  <location ref="H12:H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E50FCC-8932-446E-8A5D-74D790356E61}" name="PivotTable1" cacheId="656" applyNumberFormats="0" applyBorderFormats="0" applyFontFormats="0" applyPatternFormats="0" applyAlignmentFormats="0" applyWidthHeightFormats="1" dataCaption="Values" tag="eefba7ae-b512-430a-bfad-ada3cad702dd" updatedVersion="8" minRefreshableVersion="5" useAutoFormatting="1" itemPrintTitles="1" createdVersion="8" indent="0" outline="1" outlineData="1" multipleFieldFilters="0">
  <location ref="E12:F20"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1D6C94-981B-4936-BB68-E24BCAC6060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83573BD-8AFF-42BD-AFCD-588F0848114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35276C3-4891-4E0D-947F-204597C9259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delivery" tableColumnId="13"/>
      <queryTableField id="14" name="Hour(Delivery Time)" tableColumnId="14"/>
      <queryTableField id="15" name="Price (INR)" tableColumnId="15"/>
      <queryTableField id="16" name="Revenue" tableColumnId="16"/>
      <queryTableField id="17"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8A4F1E3-A788-46DC-AEAE-FCABDAB3DB9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842CD04-BFF3-4D67-A3A9-02D2292C8C7F}" sourceName="[orders].[Occasion]">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41888625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3BD431-3F26-4AD1-BDA9-FFC864F9229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9D326A2-EAB8-4D5E-BAA5-301A4CDC0ED0}"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60F2E-EEBE-45BB-AEE9-48742CAB291A}" name="fnp_dataset" displayName="fnp_dataset" ref="A1:F4" tableType="queryTable" totalsRowShown="0">
  <autoFilter ref="A1:F4" xr:uid="{F7E60F2E-EEBE-45BB-AEE9-48742CAB291A}"/>
  <tableColumns count="6">
    <tableColumn id="1" xr3:uid="{90922565-59A6-41CC-96DA-D2A900FCD108}" uniqueName="1" name="Name" queryTableFieldId="1" dataDxfId="24"/>
    <tableColumn id="2" xr3:uid="{A3BEE374-3190-4ED2-B690-1ADAB9D1433C}" uniqueName="2" name="Extension" queryTableFieldId="2" dataDxfId="23"/>
    <tableColumn id="3" xr3:uid="{28837824-096F-4D77-AD6F-F6108137E922}" uniqueName="3" name="Date accessed" queryTableFieldId="3" dataDxfId="22"/>
    <tableColumn id="4" xr3:uid="{A494CE3B-2987-4141-ABE6-F281A88362E9}" uniqueName="4" name="Date modified" queryTableFieldId="4" dataDxfId="21"/>
    <tableColumn id="5" xr3:uid="{D9BC4FD6-EA38-44F1-8655-0512E969E15C}" uniqueName="5" name="Date created" queryTableFieldId="5" dataDxfId="20"/>
    <tableColumn id="6" xr3:uid="{94FF7C5F-0A7D-4CCE-B038-AEB9BAA2BC56}"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E46575-EDFC-4161-879F-6AA100DBE2C3}" name="customers" displayName="customers" ref="A1:G101" tableType="queryTable" totalsRowShown="0">
  <autoFilter ref="A1:G101" xr:uid="{13E46575-EDFC-4161-879F-6AA100DBE2C3}"/>
  <tableColumns count="7">
    <tableColumn id="1" xr3:uid="{459B55B1-0F12-47F6-98CA-A4BE3E5483DB}" uniqueName="1" name="Customer_ID" queryTableFieldId="1" dataDxfId="18"/>
    <tableColumn id="2" xr3:uid="{ED27B722-5812-4675-A5D3-BEE99184D388}" uniqueName="2" name="Name" queryTableFieldId="2" dataDxfId="17"/>
    <tableColumn id="3" xr3:uid="{7020C70A-27F6-407B-BCCB-1D45E374DBAD}" uniqueName="3" name="City" queryTableFieldId="3" dataDxfId="16"/>
    <tableColumn id="4" xr3:uid="{D3D60E7C-8CFB-406F-8FCC-5D5A3858AF11}" uniqueName="4" name="Contact_Number" queryTableFieldId="4" dataDxfId="15"/>
    <tableColumn id="5" xr3:uid="{1CE551BB-093A-4370-B9E6-F6D9EB6C5AD1}" uniqueName="5" name="Email" queryTableFieldId="5" dataDxfId="14"/>
    <tableColumn id="6" xr3:uid="{4C6EA056-AB07-4323-BED2-00569B36C234}" uniqueName="6" name="Gender" queryTableFieldId="6" dataDxfId="13"/>
    <tableColumn id="7" xr3:uid="{866A99F6-D207-4277-8939-BDF5A4DD7E0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AB844F-A8A1-4139-B802-91E2F5070A33}" name="orders" displayName="orders" ref="A1:Q1001" tableType="queryTable" totalsRowShown="0">
  <autoFilter ref="A1:Q1001" xr:uid="{DEAB844F-A8A1-4139-B802-91E2F5070A33}"/>
  <tableColumns count="17">
    <tableColumn id="1" xr3:uid="{AC3C7CC8-C526-4DBE-BC74-91F1F0120691}" uniqueName="1" name="Order_ID" queryTableFieldId="1"/>
    <tableColumn id="2" xr3:uid="{32CE25E8-C1A8-4AD0-8732-C28DC6F32E35}" uniqueName="2" name="Customer_ID" queryTableFieldId="2" dataDxfId="11"/>
    <tableColumn id="3" xr3:uid="{77516C88-33F8-4F12-84FD-0469F99257FE}" uniqueName="3" name="Product_ID" queryTableFieldId="3"/>
    <tableColumn id="4" xr3:uid="{FE7D2E42-534F-4DCC-8E79-C9CD63BE64F1}" uniqueName="4" name="Quantity" queryTableFieldId="4"/>
    <tableColumn id="5" xr3:uid="{6AFBA0D8-BF08-4780-86B6-AA646B4DCCC0}" uniqueName="5" name="Order_Date" queryTableFieldId="5" dataDxfId="10"/>
    <tableColumn id="6" xr3:uid="{8B9D7689-CFA6-4798-BCBA-B6872AF687BE}" uniqueName="6" name="Order_Time" queryTableFieldId="6" dataDxfId="9"/>
    <tableColumn id="7" xr3:uid="{99E89AB3-FAD4-4D9D-BF83-B64C7059DF27}" uniqueName="7" name="Delivery_Date" queryTableFieldId="7" dataDxfId="8"/>
    <tableColumn id="8" xr3:uid="{0B62ABC9-DF4D-4C86-A211-CE9101D3706E}" uniqueName="8" name="Delivery_Time" queryTableFieldId="8" dataDxfId="7"/>
    <tableColumn id="9" xr3:uid="{F9EDF6BA-11A8-44CB-8492-527899D5374B}" uniqueName="9" name="Location" queryTableFieldId="9" dataDxfId="6"/>
    <tableColumn id="10" xr3:uid="{E7A6BED3-CEC6-4E4C-A773-F2B1B83A778B}" uniqueName="10" name="Occasion" queryTableFieldId="10" dataDxfId="5"/>
    <tableColumn id="11" xr3:uid="{D75B54E2-433C-4C98-969A-6A24BCF523D5}" uniqueName="11" name="Month Name" queryTableFieldId="11" dataDxfId="4"/>
    <tableColumn id="12" xr3:uid="{CC77CE0A-00F0-4898-9208-E4C0AF4E6480}" uniqueName="12" name="Hour(order time)" queryTableFieldId="12"/>
    <tableColumn id="13" xr3:uid="{146D0C4D-32CB-4A92-87AA-7532DF28266A}" uniqueName="13" name="diff_order-delivery" queryTableFieldId="13"/>
    <tableColumn id="14" xr3:uid="{E056E27B-5489-4E95-A84A-84E71B7BDD4E}" uniqueName="14" name="Hour(Delivery Time)" queryTableFieldId="14"/>
    <tableColumn id="15" xr3:uid="{53170016-28E2-4438-9CA7-C0089795BB11}" uniqueName="15" name="Price (INR)" queryTableFieldId="15"/>
    <tableColumn id="16" xr3:uid="{12000F92-1201-4144-AF7D-A712B5E54295}" uniqueName="16" name="Revenue" queryTableFieldId="16"/>
    <tableColumn id="17" xr3:uid="{9A4C2BBD-7689-4B3F-A3F3-76FD523AB557}" uniqueName="17"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93CA07-6801-428E-92A4-7815D7C5246D}" name="products" displayName="products" ref="A1:F71" tableType="queryTable" totalsRowShown="0">
  <autoFilter ref="A1:F71" xr:uid="{3593CA07-6801-428E-92A4-7815D7C5246D}"/>
  <tableColumns count="6">
    <tableColumn id="1" xr3:uid="{24D57928-085C-4E42-BF64-095931D94F38}" uniqueName="1" name="Product_ID" queryTableFieldId="1"/>
    <tableColumn id="2" xr3:uid="{9BC3EDAE-972D-4989-BD9E-69440C3F8F6E}" uniqueName="2" name="Product_Name" queryTableFieldId="2" dataDxfId="3"/>
    <tableColumn id="3" xr3:uid="{F09604D3-86A9-465A-A431-61E0286BFEC6}" uniqueName="3" name="Category" queryTableFieldId="3" dataDxfId="2"/>
    <tableColumn id="4" xr3:uid="{6A3E72F9-2F60-46EF-8D86-2A1F739D3CFA}" uniqueName="4" name="Price (INR)" queryTableFieldId="4"/>
    <tableColumn id="5" xr3:uid="{B43E84E8-C171-40F4-B899-1B6448717F24}" uniqueName="5" name="Occasion" queryTableFieldId="5" dataDxfId="1"/>
    <tableColumn id="6" xr3:uid="{770BFADE-CE16-466E-8633-FB5DC77210B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835AA6B-AF6A-4229-9369-BADF6E0227BF}" sourceName="[orders].[Order_Date]">
  <pivotTables>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7"/>
  </pivotTables>
  <state minimalRefreshVersion="6" lastRefreshVersion="6" pivotCacheId="2042961124"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304949F-2FE2-41FB-A729-A4B51EA1A257}" cache="Timeline_Order_Date" caption="Order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34ED-3640-432C-AFA2-0F937E689E1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6640625" bestFit="1" customWidth="1"/>
  </cols>
  <sheetData>
    <row r="1" spans="1:6" x14ac:dyDescent="0.3">
      <c r="A1" t="s">
        <v>0</v>
      </c>
      <c r="B1" t="s">
        <v>1</v>
      </c>
      <c r="C1" t="s">
        <v>2</v>
      </c>
      <c r="D1" t="s">
        <v>3</v>
      </c>
      <c r="E1" t="s">
        <v>4</v>
      </c>
      <c r="F1" t="s">
        <v>5</v>
      </c>
    </row>
    <row r="2" spans="1:6" x14ac:dyDescent="0.3">
      <c r="A2" s="1" t="s">
        <v>6</v>
      </c>
      <c r="B2" s="1" t="s">
        <v>7</v>
      </c>
      <c r="C2" s="2">
        <v>46296.842533834875</v>
      </c>
      <c r="D2" s="2">
        <v>46296.842528549379</v>
      </c>
      <c r="E2" s="2">
        <v>46296.84251697531</v>
      </c>
      <c r="F2" s="1" t="s">
        <v>8</v>
      </c>
    </row>
    <row r="3" spans="1:6" x14ac:dyDescent="0.3">
      <c r="A3" s="1" t="s">
        <v>9</v>
      </c>
      <c r="B3" s="1" t="s">
        <v>7</v>
      </c>
      <c r="C3" s="2">
        <v>46296.842584220678</v>
      </c>
      <c r="D3" s="2">
        <v>46296.84258094136</v>
      </c>
      <c r="E3" s="2">
        <v>46296.842577507719</v>
      </c>
      <c r="F3" s="1" t="s">
        <v>8</v>
      </c>
    </row>
    <row r="4" spans="1:6" x14ac:dyDescent="0.3">
      <c r="A4" s="1" t="s">
        <v>10</v>
      </c>
      <c r="B4" s="1" t="s">
        <v>7</v>
      </c>
      <c r="C4" s="2">
        <v>46296.842657870373</v>
      </c>
      <c r="D4" s="2">
        <v>46296.842652160492</v>
      </c>
      <c r="E4" s="2">
        <v>46296.842649189814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7AF3-2FBB-4A5A-9BA6-2D25DFEC69F1}">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5A20-A4E8-4E62-8B52-9A98059A0F8D}">
  <dimension ref="A1:Q1001"/>
  <sheetViews>
    <sheetView topLeftCell="H1"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109375" bestFit="1" customWidth="1"/>
    <col min="14" max="14" width="20.21875" bestFit="1" customWidth="1"/>
    <col min="15" max="15" width="12.109375" bestFit="1" customWidth="1"/>
    <col min="16" max="16" width="10.5546875" bestFit="1" customWidth="1"/>
    <col min="17" max="17" width="12.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1007</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1008</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1009</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1007</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1010</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1007</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1007</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1010</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1010</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1007</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1007</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1007</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1011</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1011</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1011</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1012</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1008</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1007</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1007</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1008</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1007</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1010</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1010</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1007</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1010</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1008</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1010</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1012</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1013</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1009</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1012</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1009</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1007</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1007</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1007</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1007</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1011</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1008</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1008</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1009</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1010</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1007</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1011</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1008</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1007</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1010</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1011</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1012</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1012</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1010</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1010</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1008</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1012</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1010</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1007</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1010</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1013</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1011</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1012</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1007</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1007</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1010</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1007</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1008</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1011</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1007</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1007</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1010</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1008</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1009</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1009</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1011</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1010</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1010</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1007</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1009</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1007</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1012</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1007</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1013</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1012</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1008</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1007</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1008</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1009</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1010</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1011</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1009</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1008</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1010</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1010</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1013</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1007</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1007</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1010</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1011</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1007</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1012</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1008</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1011</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1013</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1010</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1009</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1011</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1013</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1011</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1010</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1010</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1010</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1011</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1011</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1007</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1011</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1009</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1008</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1012</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1010</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1010</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1009</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1013</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1013</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1010</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1010</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1010</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1008</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1011</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1008</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1007</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1011</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1011</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1009</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1011</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1009</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1012</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1012</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1011</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1013</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1010</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1009</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1012</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1012</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1012</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1010</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1010</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1012</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1012</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1010</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1010</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1012</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1011</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1013</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1013</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1013</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1010</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1012</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1007</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1010</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1010</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1012</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1011</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1010</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1010</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1011</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1012</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1012</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1012</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1010</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1011</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1011</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1010</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1013</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1012</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1011</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1012</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1012</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1012</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1010</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1013</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1010</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1012</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1010</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1011</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1013</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1013</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1012</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1007</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1010</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1009</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1007</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1013</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1013</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1011</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1010</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1010</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1009</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1010</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1012</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1012</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1012</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1011</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1008</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1011</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1013</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1013</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1012</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1011</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1010</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1011</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1008</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1010</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1012</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1012</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1013</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1008</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1012</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1010</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1011</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1007</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1009</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1012</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1009</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1008</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1009</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1009</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1007</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1011</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1010</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1010</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1013</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1008</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1009</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1013</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1008</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1010</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1008</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1012</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1011</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1012</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1010</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1008</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1010</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1013</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1013</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1010</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1013</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1007</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1013</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1012</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1012</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1008</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1007</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1012</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1010</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1007</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1007</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1011</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1013</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1007</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1013</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1013</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1012</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1007</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1009</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1009</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1007</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1007</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1013</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1007</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1007</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1010</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1010</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1007</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1007</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1009</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1007</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1009</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1010</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1010</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1008</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1010</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1011</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1010</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1010</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1010</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1011</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1007</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1013</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1011</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1009</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1011</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1008</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1013</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1011</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1012</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1012</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1008</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1011</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1007</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1009</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1009</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1009</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1007</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1008</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1009</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1009</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1011</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1009</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1009</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1010</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1012</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1010</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1008</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1012</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1013</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1007</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1011</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1012</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1010</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1013</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1013</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1008</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1008</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1011</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1011</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1013</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1012</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1012</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1010</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1008</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1012</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1009</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1013</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1009</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1011</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1009</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1010</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1013</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1008</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1013</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1012</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1009</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1007</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1010</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1009</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1013</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1011</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1009</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1013</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1011</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1011</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1013</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1009</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1008</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1010</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1007</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1009</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1009</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1012</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1009</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1012</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1010</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1013</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1010</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1012</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1011</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1011</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1012</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1010</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1010</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1011</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1011</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1007</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1012</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1009</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1013</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1008</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1013</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1007</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1010</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1010</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1010</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1012</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1012</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1010</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1010</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1007</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1009</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1008</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1010</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1012</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1007</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1010</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1013</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1010</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1013</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1012</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1010</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1011</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1013</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1010</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1013</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1012</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1007</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1007</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1012</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1008</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1012</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1012</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1008</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1011</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1012</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1010</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1009</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1010</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1013</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1011</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1010</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1010</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1010</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1012</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1012</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1008</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1011</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1010</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1007</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1012</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1012</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1009</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1012</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1013</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1010</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1012</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1010</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1012</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1013</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1007</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1011</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1008</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1011</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1011</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1011</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1012</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1010</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1012</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1010</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1010</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1009</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1012</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1009</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1010</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1012</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1012</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1011</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1010</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1008</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1010</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1011</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1011</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1012</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1009</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1010</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1012</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1010</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1009</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1008</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1009</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1011</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1012</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1012</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1011</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1008</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1012</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1008</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1012</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1012</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1011</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1012</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1009</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1008</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1013</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1009</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1007</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1011</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1009</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1013</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1012</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1011</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1012</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1012</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1010</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1012</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1008</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1010</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1007</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1012</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1011</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1012</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1011</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1009</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1012</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1012</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1007</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1012</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1012</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1010</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1012</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1010</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1012</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1009</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1011</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1009</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1007</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1009</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1010</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1011</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1008</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1007</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1010</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1008</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1011</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1013</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1012</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1012</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1010</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1007</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1011</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1012</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1011</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1011</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1011</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1012</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1007</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1012</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1009</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1008</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1009</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1007</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1012</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1011</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1013</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1012</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1008</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1008</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1013</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1010</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1007</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1012</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1012</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1012</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1010</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1008</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1009</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1013</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1008</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1011</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1011</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1009</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1012</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1011</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1008</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1009</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1012</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1012</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1011</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1011</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1008</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1010</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1008</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1008</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1007</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1012</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1008</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1007</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1008</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1013</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1012</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1007</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1010</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1012</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1009</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1013</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1007</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1009</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1012</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1013</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1008</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1013</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1013</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1007</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1008</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1007</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1007</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1013</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1008</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1013</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1013</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1009</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1011</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1011</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1007</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1007</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1013</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1009</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1009</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1013</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1012</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1007</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1009</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1013</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1013</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1008</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1011</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1011</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1013</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1007</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1009</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1010</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1007</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1007</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1011</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1008</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1012</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1008</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1011</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1010</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1013</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1010</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1009</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1013</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1007</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1011</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1010</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1013</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1013</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1007</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1013</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1009</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1008</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1010</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1008</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1008</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1013</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1010</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1013</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1007</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1012</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1007</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1013</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1011</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1007</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1012</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1009</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1008</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1013</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1012</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1011</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1013</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1009</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1013</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1013</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1013</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1009</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1008</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1012</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1007</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1008</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1009</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1013</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1010</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1011</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1009</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1009</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1013</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1013</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1010</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1009</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1013</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1011</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1008</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1012</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1012</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1009</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1010</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1011</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1010</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1013</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1011</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1008</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1012</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1009</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1008</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1009</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1009</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1011</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1010</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1012</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1009</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1012</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1011</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1007</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1010</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1011</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1008</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1010</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1010</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1009</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1008</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1007</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1009</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1007</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1012</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1009</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1009</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1013</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1007</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1008</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1012</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1008</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1008</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1009</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1008</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1013</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1012</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1012</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1012</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1010</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1007</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1010</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1010</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1009</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1009</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1012</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1013</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1009</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1007</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1011</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1007</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1010</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1007</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1007</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1012</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1007</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1012</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1011</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1010</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1012</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1013</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1010</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1009</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1011</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1010</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1010</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1007</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1011</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1013</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1008</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1011</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1011</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1011</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1011</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1009</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1013</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1008</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1009</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1011</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1011</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1011</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1011</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1007</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1009</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1012</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1010</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1007</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1012</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1009</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1012</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1010</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1013</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1013</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1011</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1010</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1013</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1010</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1009</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1011</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1010</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1008</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1009</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1008</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1009</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1011</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1007</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1012</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1009</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1009</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1010</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1007</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1010</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1007</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1010</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1009</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1010</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1013</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1008</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1010</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1008</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1010</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1008</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1012</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1009</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1010</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1007</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1010</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1009</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1012</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1013</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1012</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1013</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1011</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1009</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1010</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1013</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1013</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1010</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1009</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1007</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1008</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1010</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1009</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1008</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1007</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1012</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1011</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1009</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1012</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1012</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1010</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1007</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1010</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1009</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1008</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1013</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1008</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1012</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1012</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1012</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1010</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1009</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1013</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1011</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1008</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1009</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1010</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1009</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1007</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1013</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1013</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1009</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1007</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1009</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1007</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1010</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1013</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1010</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1009</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1009</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1013</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1011</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1013</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1009</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1009</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1013</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1009</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1011</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1008</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1011</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1009</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1008</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1012</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1013</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1011</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1011</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1009</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1012</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1011</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1012</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1013</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1010</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1012</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1010</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1012</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1008</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1010</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1007</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1010</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1013</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1008</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1012</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1007</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1012</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1011</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1012</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1008</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1013</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1010</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1011</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1008</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1013</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1009</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1007</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1007</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1013</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1009</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1008</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1008</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1013</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1012</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1012</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1010</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1011</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1011</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1011</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1012</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1013</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1007</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1009</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1009</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1010</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1007</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1007</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1009</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1009</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1012</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1008</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1008</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1008</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1009</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1010</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1007</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1011</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1007</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1013</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1009</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1011</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1009</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1012</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1007</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1013</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1009</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1008</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1013</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1013</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1007</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1010</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1007</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1007</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1008</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1011</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1010</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1013</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1011</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1011</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1011</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1011</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1008</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1008</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1009</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1009</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1010</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1012</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1009</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1007</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1009</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1012</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1013</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1008</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1009</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1009</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1011</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1010</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1007</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1008</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1008</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1010</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1012</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1011</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1013</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1007</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1007</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1010</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1009</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1013</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1009</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1013</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1010</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1009</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1013</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1010</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1010</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425-3B31-448C-8D52-99A08443F8DD}">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620</v>
      </c>
      <c r="F3" s="1" t="s">
        <v>864</v>
      </c>
    </row>
    <row r="4" spans="1:6" x14ac:dyDescent="0.3">
      <c r="A4">
        <v>3</v>
      </c>
      <c r="B4" s="1" t="s">
        <v>865</v>
      </c>
      <c r="C4" s="1" t="s">
        <v>866</v>
      </c>
      <c r="D4">
        <v>1534</v>
      </c>
      <c r="E4" s="1" t="s">
        <v>620</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794</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620</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794</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620</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794</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794</v>
      </c>
      <c r="F28" s="1" t="s">
        <v>918</v>
      </c>
    </row>
    <row r="29" spans="1:6" x14ac:dyDescent="0.3">
      <c r="A29">
        <v>28</v>
      </c>
      <c r="B29" s="1" t="s">
        <v>919</v>
      </c>
      <c r="C29" s="1" t="s">
        <v>869</v>
      </c>
      <c r="D29">
        <v>1778</v>
      </c>
      <c r="E29" s="1" t="s">
        <v>794</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620</v>
      </c>
      <c r="F34" s="1" t="s">
        <v>930</v>
      </c>
    </row>
    <row r="35" spans="1:6" x14ac:dyDescent="0.3">
      <c r="A35">
        <v>34</v>
      </c>
      <c r="B35" s="1" t="s">
        <v>931</v>
      </c>
      <c r="C35" s="1" t="s">
        <v>860</v>
      </c>
      <c r="D35">
        <v>1335</v>
      </c>
      <c r="E35" s="1" t="s">
        <v>794</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794</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794</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620</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794</v>
      </c>
      <c r="D53">
        <v>236</v>
      </c>
      <c r="E53" s="1" t="s">
        <v>620</v>
      </c>
      <c r="F53" s="1" t="s">
        <v>968</v>
      </c>
    </row>
    <row r="54" spans="1:6" x14ac:dyDescent="0.3">
      <c r="A54">
        <v>53</v>
      </c>
      <c r="B54" s="1" t="s">
        <v>969</v>
      </c>
      <c r="C54" s="1" t="s">
        <v>869</v>
      </c>
      <c r="D54">
        <v>1672</v>
      </c>
      <c r="E54" s="1" t="s">
        <v>794</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794</v>
      </c>
      <c r="F56" s="1" t="s">
        <v>974</v>
      </c>
    </row>
    <row r="57" spans="1:6" x14ac:dyDescent="0.3">
      <c r="A57">
        <v>56</v>
      </c>
      <c r="B57" s="1" t="s">
        <v>905</v>
      </c>
      <c r="C57" s="1" t="s">
        <v>794</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620</v>
      </c>
      <c r="F59" s="1" t="s">
        <v>979</v>
      </c>
    </row>
    <row r="60" spans="1:6" x14ac:dyDescent="0.3">
      <c r="A60">
        <v>59</v>
      </c>
      <c r="B60" s="1" t="s">
        <v>980</v>
      </c>
      <c r="C60" s="1" t="s">
        <v>874</v>
      </c>
      <c r="D60">
        <v>811</v>
      </c>
      <c r="E60" s="1" t="s">
        <v>794</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794</v>
      </c>
      <c r="F65" s="1" t="s">
        <v>991</v>
      </c>
    </row>
    <row r="66" spans="1:6" x14ac:dyDescent="0.3">
      <c r="A66">
        <v>65</v>
      </c>
      <c r="B66" s="1" t="s">
        <v>992</v>
      </c>
      <c r="C66" s="1" t="s">
        <v>794</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794</v>
      </c>
      <c r="D68">
        <v>1374</v>
      </c>
      <c r="E68" s="1" t="s">
        <v>698</v>
      </c>
      <c r="F68" s="1" t="s">
        <v>997</v>
      </c>
    </row>
    <row r="69" spans="1:6" x14ac:dyDescent="0.3">
      <c r="A69">
        <v>68</v>
      </c>
      <c r="B69" s="1" t="s">
        <v>998</v>
      </c>
      <c r="C69" s="1" t="s">
        <v>860</v>
      </c>
      <c r="D69">
        <v>597</v>
      </c>
      <c r="E69" s="1" t="s">
        <v>620</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10E3-3B22-44AE-A8A5-4BBF3C9E7B48}">
  <dimension ref="B12:S25"/>
  <sheetViews>
    <sheetView tabSelected="1" topLeftCell="F2" zoomScale="53" workbookViewId="0">
      <selection activeCell="R36" sqref="R36"/>
    </sheetView>
  </sheetViews>
  <sheetFormatPr defaultRowHeight="14.4" x14ac:dyDescent="0.3"/>
  <cols>
    <col min="2" max="2" width="19.21875" bestFit="1" customWidth="1"/>
    <col min="3" max="3" width="20.88671875" bestFit="1" customWidth="1"/>
    <col min="5" max="5" width="19.21875" customWidth="1"/>
    <col min="6" max="6" width="20.88671875" customWidth="1"/>
    <col min="8" max="9" width="20.88671875" bestFit="1" customWidth="1"/>
    <col min="10" max="10" width="37.44140625" bestFit="1" customWidth="1"/>
    <col min="12" max="12" width="38.6640625" bestFit="1" customWidth="1"/>
    <col min="13" max="13" width="20.88671875" bestFit="1" customWidth="1"/>
    <col min="15" max="15" width="19.21875" bestFit="1" customWidth="1"/>
    <col min="16" max="16" width="23" bestFit="1" customWidth="1"/>
    <col min="18" max="18" width="19.21875" bestFit="1" customWidth="1"/>
    <col min="19" max="19" width="20.88671875" bestFit="1" customWidth="1"/>
  </cols>
  <sheetData>
    <row r="12" spans="2:19" x14ac:dyDescent="0.3">
      <c r="B12" s="5" t="s">
        <v>1003</v>
      </c>
      <c r="C12" t="s">
        <v>1014</v>
      </c>
      <c r="E12" s="5" t="s">
        <v>1003</v>
      </c>
      <c r="F12" t="s">
        <v>1014</v>
      </c>
      <c r="H12" t="s">
        <v>1014</v>
      </c>
      <c r="J12" t="s">
        <v>1015</v>
      </c>
      <c r="L12" t="s">
        <v>1016</v>
      </c>
      <c r="O12" s="5" t="s">
        <v>1003</v>
      </c>
      <c r="P12" t="s">
        <v>1017</v>
      </c>
      <c r="R12">
        <f>CORREL(orders[Quantity], orders[diff_order-delivery])</f>
        <v>3.4781737193018245E-3</v>
      </c>
    </row>
    <row r="13" spans="2:19" x14ac:dyDescent="0.3">
      <c r="B13" s="6" t="s">
        <v>842</v>
      </c>
      <c r="C13" s="7">
        <v>95468</v>
      </c>
      <c r="E13" s="6" t="s">
        <v>874</v>
      </c>
      <c r="F13" s="7">
        <v>329862</v>
      </c>
      <c r="H13" s="7">
        <v>3520984</v>
      </c>
      <c r="J13" s="1">
        <v>5.53</v>
      </c>
      <c r="L13" s="7">
        <v>3520.9839999999999</v>
      </c>
      <c r="O13" s="6" t="s">
        <v>218</v>
      </c>
      <c r="P13" s="1">
        <v>18</v>
      </c>
    </row>
    <row r="14" spans="2:19" x14ac:dyDescent="0.3">
      <c r="B14" s="6" t="s">
        <v>621</v>
      </c>
      <c r="C14" s="7">
        <v>704509</v>
      </c>
      <c r="E14" s="6" t="s">
        <v>866</v>
      </c>
      <c r="F14" s="7">
        <v>1005645</v>
      </c>
      <c r="O14" s="6" t="s">
        <v>152</v>
      </c>
      <c r="P14" s="1">
        <v>21</v>
      </c>
    </row>
    <row r="15" spans="2:19" x14ac:dyDescent="0.3">
      <c r="B15" s="6" t="s">
        <v>747</v>
      </c>
      <c r="C15" s="7">
        <v>511823</v>
      </c>
      <c r="E15" s="6" t="s">
        <v>885</v>
      </c>
      <c r="F15" s="7">
        <v>201151</v>
      </c>
      <c r="O15" s="6" t="s">
        <v>32</v>
      </c>
      <c r="P15" s="1">
        <v>18</v>
      </c>
    </row>
    <row r="16" spans="2:19" x14ac:dyDescent="0.3">
      <c r="B16" s="6" t="s">
        <v>837</v>
      </c>
      <c r="C16" s="7">
        <v>140393</v>
      </c>
      <c r="E16" s="6" t="s">
        <v>863</v>
      </c>
      <c r="F16" s="7">
        <v>212281</v>
      </c>
      <c r="L16" s="5" t="s">
        <v>1003</v>
      </c>
      <c r="M16" t="s">
        <v>1014</v>
      </c>
      <c r="O16" s="6" t="s">
        <v>324</v>
      </c>
      <c r="P16" s="1">
        <v>28</v>
      </c>
      <c r="R16" s="5" t="s">
        <v>1003</v>
      </c>
      <c r="S16" t="s">
        <v>1014</v>
      </c>
    </row>
    <row r="17" spans="2:19" x14ac:dyDescent="0.3">
      <c r="B17" s="6" t="s">
        <v>840</v>
      </c>
      <c r="C17" s="7">
        <v>150346</v>
      </c>
      <c r="E17" s="6" t="s">
        <v>794</v>
      </c>
      <c r="F17" s="7">
        <v>297372</v>
      </c>
      <c r="L17" s="6" t="s">
        <v>874</v>
      </c>
      <c r="M17" s="7">
        <v>329862</v>
      </c>
      <c r="O17" s="6" t="s">
        <v>230</v>
      </c>
      <c r="P17" s="1">
        <v>21</v>
      </c>
      <c r="R17" s="6" t="s">
        <v>699</v>
      </c>
      <c r="S17" s="7">
        <v>586176</v>
      </c>
    </row>
    <row r="18" spans="2:19" x14ac:dyDescent="0.3">
      <c r="B18" s="6" t="s">
        <v>841</v>
      </c>
      <c r="C18" s="7">
        <v>157913</v>
      </c>
      <c r="E18" s="6" t="s">
        <v>860</v>
      </c>
      <c r="F18" s="7">
        <v>740831</v>
      </c>
      <c r="H18" s="5" t="s">
        <v>1003</v>
      </c>
      <c r="I18" t="s">
        <v>1014</v>
      </c>
      <c r="L18" s="6" t="s">
        <v>866</v>
      </c>
      <c r="M18" s="7">
        <v>1005645</v>
      </c>
      <c r="O18" s="6" t="s">
        <v>301</v>
      </c>
      <c r="P18" s="1">
        <v>20</v>
      </c>
      <c r="R18" s="6" t="s">
        <v>698</v>
      </c>
      <c r="S18" s="7">
        <v>674634</v>
      </c>
    </row>
    <row r="19" spans="2:19" x14ac:dyDescent="0.3">
      <c r="B19" s="6" t="s">
        <v>839</v>
      </c>
      <c r="C19" s="7">
        <v>135826</v>
      </c>
      <c r="E19" s="6" t="s">
        <v>869</v>
      </c>
      <c r="F19" s="7">
        <v>733842</v>
      </c>
      <c r="H19" s="6" t="s">
        <v>891</v>
      </c>
      <c r="I19" s="7">
        <v>97665</v>
      </c>
      <c r="L19" s="6" t="s">
        <v>885</v>
      </c>
      <c r="M19" s="7">
        <v>201151</v>
      </c>
      <c r="O19" s="6" t="s">
        <v>188</v>
      </c>
      <c r="P19" s="1">
        <v>24</v>
      </c>
      <c r="R19" s="6" t="s">
        <v>707</v>
      </c>
      <c r="S19" s="7">
        <v>408194</v>
      </c>
    </row>
    <row r="20" spans="2:19" x14ac:dyDescent="0.3">
      <c r="B20" s="6" t="s">
        <v>795</v>
      </c>
      <c r="C20" s="7">
        <v>737389</v>
      </c>
      <c r="E20" s="6" t="s">
        <v>1004</v>
      </c>
      <c r="F20" s="7">
        <v>3520984</v>
      </c>
      <c r="H20" s="6" t="s">
        <v>973</v>
      </c>
      <c r="I20" s="7">
        <v>106624</v>
      </c>
      <c r="L20" s="6" t="s">
        <v>863</v>
      </c>
      <c r="M20" s="7">
        <v>212281</v>
      </c>
      <c r="O20" s="6" t="s">
        <v>307</v>
      </c>
      <c r="P20" s="1">
        <v>29</v>
      </c>
      <c r="R20" s="6" t="s">
        <v>829</v>
      </c>
      <c r="S20" s="7">
        <v>313783</v>
      </c>
    </row>
    <row r="21" spans="2:19" x14ac:dyDescent="0.3">
      <c r="B21" s="6" t="s">
        <v>843</v>
      </c>
      <c r="C21" s="7">
        <v>136938</v>
      </c>
      <c r="H21" s="6" t="s">
        <v>957</v>
      </c>
      <c r="I21" s="7">
        <v>101556</v>
      </c>
      <c r="L21" s="6" t="s">
        <v>794</v>
      </c>
      <c r="M21" s="7">
        <v>297372</v>
      </c>
      <c r="O21" s="6" t="s">
        <v>158</v>
      </c>
      <c r="P21" s="1">
        <v>27</v>
      </c>
      <c r="R21" s="6" t="s">
        <v>701</v>
      </c>
      <c r="S21" s="7">
        <v>574682</v>
      </c>
    </row>
    <row r="22" spans="2:19" x14ac:dyDescent="0.3">
      <c r="B22" s="6" t="s">
        <v>845</v>
      </c>
      <c r="C22" s="7">
        <v>151619</v>
      </c>
      <c r="H22" s="6" t="s">
        <v>859</v>
      </c>
      <c r="I22" s="7">
        <v>121905</v>
      </c>
      <c r="L22" s="6" t="s">
        <v>860</v>
      </c>
      <c r="M22" s="7">
        <v>740831</v>
      </c>
      <c r="O22" s="6" t="s">
        <v>397</v>
      </c>
      <c r="P22" s="1">
        <v>19</v>
      </c>
      <c r="R22" s="6" t="s">
        <v>794</v>
      </c>
      <c r="S22" s="7">
        <v>631585</v>
      </c>
    </row>
    <row r="23" spans="2:19" x14ac:dyDescent="0.3">
      <c r="B23" s="6" t="s">
        <v>822</v>
      </c>
      <c r="C23" s="7">
        <v>449169</v>
      </c>
      <c r="H23" s="6" t="s">
        <v>905</v>
      </c>
      <c r="I23" s="7">
        <v>114476</v>
      </c>
      <c r="L23" s="6" t="s">
        <v>869</v>
      </c>
      <c r="M23" s="7">
        <v>733842</v>
      </c>
      <c r="O23" s="6" t="s">
        <v>1004</v>
      </c>
      <c r="P23" s="1">
        <v>225</v>
      </c>
      <c r="R23" s="6" t="s">
        <v>620</v>
      </c>
      <c r="S23" s="7">
        <v>331930</v>
      </c>
    </row>
    <row r="24" spans="2:19" x14ac:dyDescent="0.3">
      <c r="B24" s="6" t="s">
        <v>836</v>
      </c>
      <c r="C24" s="7">
        <v>149591</v>
      </c>
      <c r="H24" s="6" t="s">
        <v>1004</v>
      </c>
      <c r="I24" s="7">
        <v>542226</v>
      </c>
      <c r="L24" s="6" t="s">
        <v>1004</v>
      </c>
      <c r="M24" s="7">
        <v>3520984</v>
      </c>
      <c r="R24" s="6" t="s">
        <v>1004</v>
      </c>
      <c r="S24" s="7">
        <v>3520984</v>
      </c>
    </row>
    <row r="25" spans="2:19" x14ac:dyDescent="0.3">
      <c r="B25" s="6" t="s">
        <v>1004</v>
      </c>
      <c r="C25" s="7">
        <v>3520984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7036-8F3B-4B84-A114-D59BC81B44C9}">
  <dimension ref="A1"/>
  <sheetViews>
    <sheetView zoomScale="66" workbookViewId="0">
      <selection activeCell="P38" sqref="P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A2CA6F9-2368-43CF-A48F-473C56B5EDBD}">
  <ds:schemaRefs>
    <ds:schemaRef ds:uri="http://schemas.microsoft.com/DataMashup"/>
  </ds:schemaRefs>
</ds:datastoreItem>
</file>

<file path=customXml/itemProps2.xml><?xml version="1.0" encoding="utf-8"?>
<ds:datastoreItem xmlns:ds="http://schemas.openxmlformats.org/officeDocument/2006/customXml" ds:itemID="{3012409E-9395-44E4-9DAA-DDA297805011}">
  <ds:schemaRefs/>
</ds:datastoreItem>
</file>

<file path=customXml/itemProps3.xml><?xml version="1.0" encoding="utf-8"?>
<ds:datastoreItem xmlns:ds="http://schemas.openxmlformats.org/officeDocument/2006/customXml" ds:itemID="{93D96BDB-D9DE-4BFE-91FC-43B7DAC0FAE4}">
  <ds:schemaRefs/>
</ds:datastoreItem>
</file>

<file path=customXml/itemProps4.xml><?xml version="1.0" encoding="utf-8"?>
<ds:datastoreItem xmlns:ds="http://schemas.openxmlformats.org/officeDocument/2006/customXml" ds:itemID="{E1D52097-4111-40E3-92AE-A5E5D394076D}">
  <ds:schemaRefs/>
</ds:datastoreItem>
</file>

<file path=customXml/itemProps5.xml><?xml version="1.0" encoding="utf-8"?>
<ds:datastoreItem xmlns:ds="http://schemas.openxmlformats.org/officeDocument/2006/customXml" ds:itemID="{DEEA0B15-0319-4960-97D7-6FA0EFEEC7CE}">
  <ds:schemaRefs/>
</ds:datastoreItem>
</file>

<file path=customXml/itemProps6.xml><?xml version="1.0" encoding="utf-8"?>
<ds:datastoreItem xmlns:ds="http://schemas.openxmlformats.org/officeDocument/2006/customXml" ds:itemID="{1E5CDCD8-9671-4F25-BC9F-56BBAA53F459}">
  <ds:schemaRefs/>
</ds:datastoreItem>
</file>

<file path=customXml/itemProps7.xml><?xml version="1.0" encoding="utf-8"?>
<ds:datastoreItem xmlns:ds="http://schemas.openxmlformats.org/officeDocument/2006/customXml" ds:itemID="{EA367ECC-3C92-4DC6-8F9D-E24F94494D17}">
  <ds:schemaRefs/>
</ds:datastoreItem>
</file>

<file path=customXml/itemProps8.xml><?xml version="1.0" encoding="utf-8"?>
<ds:datastoreItem xmlns:ds="http://schemas.openxmlformats.org/officeDocument/2006/customXml" ds:itemID="{609518B3-E03A-4A1D-8BA6-D79D4207796F}">
  <ds:schemaRefs/>
</ds:datastoreItem>
</file>

<file path=customXml/itemProps9.xml><?xml version="1.0" encoding="utf-8"?>
<ds:datastoreItem xmlns:ds="http://schemas.openxmlformats.org/officeDocument/2006/customXml" ds:itemID="{2AD4663B-67A0-4893-9106-DC2978D5F370}">
  <ds:schemaRefs/>
</ds:datastoreItem>
</file>

<file path=customXml/itemProps10.xml><?xml version="1.0" encoding="utf-8"?>
<ds:datastoreItem xmlns:ds="http://schemas.openxmlformats.org/officeDocument/2006/customXml" ds:itemID="{4F82CA45-944D-4FC9-A3B8-7C9E298CEB4C}">
  <ds:schemaRefs/>
</ds:datastoreItem>
</file>

<file path=customXml/itemProps11.xml><?xml version="1.0" encoding="utf-8"?>
<ds:datastoreItem xmlns:ds="http://schemas.openxmlformats.org/officeDocument/2006/customXml" ds:itemID="{F3E08248-ACE9-4E5A-90F0-668F740D05B8}">
  <ds:schemaRefs/>
</ds:datastoreItem>
</file>

<file path=customXml/itemProps12.xml><?xml version="1.0" encoding="utf-8"?>
<ds:datastoreItem xmlns:ds="http://schemas.openxmlformats.org/officeDocument/2006/customXml" ds:itemID="{C0BC49A5-C3B5-46C9-9AA6-34DF0CC3A019}">
  <ds:schemaRefs/>
</ds:datastoreItem>
</file>

<file path=customXml/itemProps13.xml><?xml version="1.0" encoding="utf-8"?>
<ds:datastoreItem xmlns:ds="http://schemas.openxmlformats.org/officeDocument/2006/customXml" ds:itemID="{F0FDAF0C-77C4-46FA-859E-1374EA2E6600}">
  <ds:schemaRefs/>
</ds:datastoreItem>
</file>

<file path=customXml/itemProps14.xml><?xml version="1.0" encoding="utf-8"?>
<ds:datastoreItem xmlns:ds="http://schemas.openxmlformats.org/officeDocument/2006/customXml" ds:itemID="{FE942894-5F3D-4E4E-9F6B-ED8A327A6E34}">
  <ds:schemaRefs/>
</ds:datastoreItem>
</file>

<file path=customXml/itemProps15.xml><?xml version="1.0" encoding="utf-8"?>
<ds:datastoreItem xmlns:ds="http://schemas.openxmlformats.org/officeDocument/2006/customXml" ds:itemID="{10949AC3-A424-4259-A246-F7F906D04A02}">
  <ds:schemaRefs/>
</ds:datastoreItem>
</file>

<file path=customXml/itemProps16.xml><?xml version="1.0" encoding="utf-8"?>
<ds:datastoreItem xmlns:ds="http://schemas.openxmlformats.org/officeDocument/2006/customXml" ds:itemID="{56B1795C-0235-4C58-8CE9-6B427D7F5D98}">
  <ds:schemaRefs/>
</ds:datastoreItem>
</file>

<file path=customXml/itemProps17.xml><?xml version="1.0" encoding="utf-8"?>
<ds:datastoreItem xmlns:ds="http://schemas.openxmlformats.org/officeDocument/2006/customXml" ds:itemID="{A3F6F6F2-1CB0-4339-B327-9F163DF5F4C2}">
  <ds:schemaRefs/>
</ds:datastoreItem>
</file>

<file path=customXml/itemProps18.xml><?xml version="1.0" encoding="utf-8"?>
<ds:datastoreItem xmlns:ds="http://schemas.openxmlformats.org/officeDocument/2006/customXml" ds:itemID="{FAF862EB-A1C8-416C-A9DA-AA9B9D814603}">
  <ds:schemaRefs/>
</ds:datastoreItem>
</file>

<file path=customXml/itemProps19.xml><?xml version="1.0" encoding="utf-8"?>
<ds:datastoreItem xmlns:ds="http://schemas.openxmlformats.org/officeDocument/2006/customXml" ds:itemID="{9669700D-9FE9-4D31-AE4D-9CD723E6C4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Bade</dc:creator>
  <cp:lastModifiedBy>Vedant Bade</cp:lastModifiedBy>
  <dcterms:created xsi:type="dcterms:W3CDTF">2026-10-01T14:49:59Z</dcterms:created>
  <dcterms:modified xsi:type="dcterms:W3CDTF">2026-10-02T09:38:56Z</dcterms:modified>
</cp:coreProperties>
</file>